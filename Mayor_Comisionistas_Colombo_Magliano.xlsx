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or Comisionistas" sheetId="1" state="visible" r:id="rId1"/>
  </sheets>
  <definedNames>
    <definedName name="_xlnm.Print_Titles" localSheetId="0">'Mayor Comisionistas'!$4:$4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-#,##0.00;&quot;-&quot;"/>
    <numFmt numFmtId="165" formatCode="yyyy-mm-dd h:mm:ss"/>
    <numFmt numFmtId="166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1F3864"/>
      <sz val="11"/>
    </font>
    <font>
      <name val="Arial"/>
      <i val="1"/>
      <sz val="10"/>
    </font>
    <font>
      <name val="Arial"/>
      <b val="1"/>
      <color rgb="000000FF"/>
      <sz val="10"/>
    </font>
    <font>
      <name val="Arial"/>
      <color rgb="00000000"/>
      <sz val="9"/>
    </font>
    <font>
      <name val="Arial"/>
      <color rgb="000000FF"/>
      <sz val="9"/>
    </font>
    <font>
      <name val="Arial"/>
      <color rgb="00A6A6A6"/>
      <sz val="9"/>
    </font>
    <font>
      <name val="Arial"/>
      <b val="1"/>
      <sz val="10"/>
    </font>
    <font>
      <name val="Arial"/>
      <i val="1"/>
      <color rgb="00808080"/>
      <sz val="8"/>
    </font>
    <font>
      <name val="Arial"/>
      <b val="1"/>
      <color rgb="0000800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164" fontId="7" fillId="0" borderId="0" applyAlignment="1" pivotButton="0" quotePrefix="0" xfId="0">
      <alignment vertical="top"/>
    </xf>
    <xf numFmtId="166" fontId="9" fillId="0" borderId="0" applyAlignment="1" pivotButton="0" quotePrefix="0" xfId="0">
      <alignment horizontal="center" vertical="top"/>
    </xf>
    <xf numFmtId="166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0" fontId="0" fillId="4" borderId="2" pivotButton="0" quotePrefix="0" xfId="0"/>
    <xf numFmtId="0" fontId="10" fillId="4" borderId="2" applyAlignment="1" pivotButton="0" quotePrefix="0" xfId="0">
      <alignment horizontal="right"/>
    </xf>
    <xf numFmtId="164" fontId="10" fillId="4" borderId="2" pivotButton="0" quotePrefix="0" xfId="0"/>
    <xf numFmtId="0" fontId="11" fillId="0" borderId="0" applyAlignment="1" pivotButton="0" quotePrefix="0" xfId="0">
      <alignment horizontal="right"/>
    </xf>
    <xf numFmtId="164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5" customWidth="1" min="4" max="4"/>
    <col width="62" customWidth="1" min="5" max="5"/>
    <col width="15" customWidth="1" min="6" max="6"/>
    <col width="15" customWidth="1" min="7" max="7"/>
    <col width="16" customWidth="1" min="8" max="8"/>
    <col width="5" customWidth="1" min="9" max="9"/>
  </cols>
  <sheetData>
    <row r="1">
      <c r="A1" s="1" t="inlineStr">
        <is>
          <t>COLOMBO Y MAGLIANO S.A. — Mayor de Auxiliar COMISIONISTAS por Fecha de Vencimiento</t>
        </is>
      </c>
    </row>
    <row r="2">
      <c r="A2" s="2" t="inlineStr">
        <is>
          <t>Desde 01/08/2026 hasta 31/12/2026  ·  Ejercicio 2025/2026  ·  Emitido 24/09/2026 15:27</t>
        </is>
      </c>
    </row>
    <row r="4" ht="22" customHeight="1">
      <c r="A4" s="3" t="inlineStr">
        <is>
          <t>Fecha Vto.</t>
        </is>
      </c>
      <c r="B4" s="3" t="inlineStr">
        <is>
          <t>Fecha</t>
        </is>
      </c>
      <c r="C4" s="3" t="inlineStr">
        <is>
          <t>Tipo</t>
        </is>
      </c>
      <c r="D4" s="3" t="inlineStr">
        <is>
          <t>Número</t>
        </is>
      </c>
      <c r="E4" s="3" t="inlineStr">
        <is>
          <t>Detalle</t>
        </is>
      </c>
      <c r="F4" s="3" t="inlineStr">
        <is>
          <t>Debe</t>
        </is>
      </c>
      <c r="G4" s="3" t="inlineStr">
        <is>
          <t>Haber</t>
        </is>
      </c>
      <c r="H4" s="3" t="inlineStr">
        <is>
          <t>Acumulado</t>
        </is>
      </c>
    </row>
    <row r="5">
      <c r="A5" s="4" t="inlineStr">
        <is>
          <t>44686 - URANGA, JOAQUIN</t>
        </is>
      </c>
      <c r="B5" s="5" t="n"/>
      <c r="C5" s="5" t="n"/>
      <c r="D5" s="5" t="n"/>
      <c r="E5" s="5" t="n"/>
      <c r="F5" s="5" t="n"/>
      <c r="G5" s="5" t="n"/>
      <c r="H5" s="5" t="n"/>
    </row>
    <row r="6">
      <c r="E6" s="6" t="inlineStr">
        <is>
          <t>Saldo al inicio del período</t>
        </is>
      </c>
      <c r="H6" s="7" t="n">
        <v>0</v>
      </c>
    </row>
    <row r="7">
      <c r="A7" s="8" t="n">
        <v>46241</v>
      </c>
      <c r="B7" s="8" t="n">
        <v>46182</v>
      </c>
      <c r="C7" s="9" t="inlineStr">
        <is>
          <t>CVA</t>
        </is>
      </c>
      <c r="D7" s="9" t="inlineStr">
        <is>
          <t>1002-00009290</t>
        </is>
      </c>
      <c r="E7" s="10" t="inlineStr">
        <is>
          <t>CHAMPAGNAT Y LIBERTAD S.A. (33714) - CAB. AP. 67 (PAR-INV- HEN) Alícuota: 1.75 s/ Bruto</t>
        </is>
      </c>
      <c r="F7" s="11" t="n"/>
      <c r="G7" s="11" t="n">
        <v>596020.4300000001</v>
      </c>
      <c r="H7" s="12">
        <f>H6+F7-G7</f>
        <v/>
      </c>
    </row>
    <row r="8">
      <c r="A8" s="13" t="n">
        <v>46241</v>
      </c>
      <c r="B8" s="8" t="n">
        <v>46191</v>
      </c>
      <c r="C8" s="9" t="inlineStr">
        <is>
          <t>NOO</t>
        </is>
      </c>
      <c r="D8" s="9" t="inlineStr">
        <is>
          <t>000035010-000</t>
        </is>
      </c>
      <c r="E8" s="10" t="inlineStr">
        <is>
          <t>TRASP SDO A CTA COMIS AGRO SALADO CVAP 1002-9290 CHAMPAGNAT Y LIBERTAD X 67 CAB INV 1.75%</t>
        </is>
      </c>
      <c r="F8" s="11" t="n">
        <v>596020.4300000001</v>
      </c>
      <c r="G8" s="11" t="n"/>
      <c r="H8" s="12">
        <f>H7+F8-G8</f>
        <v/>
      </c>
    </row>
    <row r="9">
      <c r="A9" s="13" t="n">
        <v>46241</v>
      </c>
      <c r="B9" s="8" t="n">
        <v>46211</v>
      </c>
      <c r="C9" s="9" t="inlineStr">
        <is>
          <t>CVA</t>
        </is>
      </c>
      <c r="D9" s="9" t="inlineStr">
        <is>
          <t>1048-00029439</t>
        </is>
      </c>
      <c r="E9" s="10" t="inlineStr">
        <is>
          <t>RIVERO, JORGE EDUARDO (41963) - CAB. AP. 4 (MER-FAE-MER) Alícuota: 1.50 s/ Bruto</t>
        </is>
      </c>
      <c r="F9" s="11" t="n"/>
      <c r="G9" s="11" t="n">
        <v>49170</v>
      </c>
      <c r="H9" s="12">
        <f>H8+F9-G9</f>
        <v/>
      </c>
    </row>
    <row r="10">
      <c r="A10" s="13" t="n">
        <v>46241</v>
      </c>
      <c r="B10" s="8" t="n">
        <v>46233</v>
      </c>
      <c r="C10" s="9" t="inlineStr">
        <is>
          <t>NOO</t>
        </is>
      </c>
      <c r="D10" s="9" t="inlineStr">
        <is>
          <t>000036093-000</t>
        </is>
      </c>
      <c r="E10" s="10" t="inlineStr">
        <is>
          <t>TRASP SDO A CTA COMIS AGRO SALADO CVAP 1048-29439 X 4 CAB RIVERO JORGE EDUARDO FAENA 1.50%</t>
        </is>
      </c>
      <c r="F10" s="11" t="n">
        <v>49170</v>
      </c>
      <c r="G10" s="11" t="n"/>
      <c r="H10" s="12">
        <f>H9+F10-G10</f>
        <v/>
      </c>
    </row>
    <row r="11">
      <c r="A11" s="14" t="n">
        <v>46297</v>
      </c>
      <c r="B11" s="14" t="n">
        <v>46286</v>
      </c>
      <c r="C11" s="15" t="inlineStr">
        <is>
          <t>LCAP</t>
        </is>
      </c>
      <c r="D11" s="15" t="inlineStr">
        <is>
          <t>1080-00000222</t>
        </is>
      </c>
      <c r="E11" s="16" t="inlineStr">
        <is>
          <t>DON BENJAMIN S.A. (22747) - CAB. AP. 1 (FERIA-REP-CAB LA PELADA) Alícuota: 20.00 s/ Comis.Neta</t>
        </is>
      </c>
      <c r="F11" s="17" t="n"/>
      <c r="G11" s="17" t="n">
        <v>200000</v>
      </c>
      <c r="H11" s="18">
        <f>H10+F11-G11</f>
        <v/>
      </c>
    </row>
    <row r="12">
      <c r="A12" s="13" t="n">
        <v>46297</v>
      </c>
      <c r="B12" s="8" t="n">
        <v>46286</v>
      </c>
      <c r="C12" s="9" t="inlineStr">
        <is>
          <t>LCAP</t>
        </is>
      </c>
      <c r="D12" s="9" t="inlineStr">
        <is>
          <t>1080-00000223</t>
        </is>
      </c>
      <c r="E12" s="10" t="inlineStr">
        <is>
          <t>DON BENJAMIN S.A. (22747) - CAB. AP. 46 (FERIA-REP-CAB LA PELADA) Alícuota: 20.00 s/ Comis.Neta</t>
        </is>
      </c>
      <c r="F12" s="11" t="n"/>
      <c r="G12" s="11" t="n">
        <v>1040000</v>
      </c>
      <c r="H12" s="12">
        <f>H11+F12-G12</f>
        <v/>
      </c>
    </row>
    <row r="13">
      <c r="A13" s="13" t="n">
        <v>46297</v>
      </c>
      <c r="B13" s="8" t="n">
        <v>46288</v>
      </c>
      <c r="C13" s="9" t="inlineStr">
        <is>
          <t>LCAP</t>
        </is>
      </c>
      <c r="D13" s="9" t="inlineStr">
        <is>
          <t>1080-00000270</t>
        </is>
      </c>
      <c r="E13" s="10" t="inlineStr">
        <is>
          <t>BADANO, ELVIRA MARGARITA (52244) - CAB. AP. 2 (FERIA-REP- CAB LA PELADA) Alícuota: 20.00 s/ Comis.Neta</t>
        </is>
      </c>
      <c r="F13" s="11" t="n"/>
      <c r="G13" s="11" t="n">
        <v>206400</v>
      </c>
      <c r="H13" s="12">
        <f>H12+F13-G13</f>
        <v/>
      </c>
    </row>
    <row r="14">
      <c r="A14" s="13" t="n">
        <v>46297</v>
      </c>
      <c r="B14" s="8" t="n">
        <v>46289</v>
      </c>
      <c r="C14" s="9" t="inlineStr">
        <is>
          <t>NOO</t>
        </is>
      </c>
      <c r="D14" s="9" t="inlineStr">
        <is>
          <t>000037483-000</t>
        </is>
      </c>
      <c r="E14" s="10" t="inlineStr">
        <is>
          <t>TRASP SDO A CTA COMIS LCAP 1080-0222 X 1 CAB DON BENJAMIN</t>
        </is>
      </c>
      <c r="F14" s="11" t="n">
        <v>200000</v>
      </c>
      <c r="G14" s="11" t="n"/>
      <c r="H14" s="12">
        <f>H13+F14-G14</f>
        <v/>
      </c>
    </row>
    <row r="15">
      <c r="A15" s="13" t="n">
        <v>46297</v>
      </c>
      <c r="B15" s="8" t="n">
        <v>46289</v>
      </c>
      <c r="C15" s="9" t="inlineStr">
        <is>
          <t>NOO</t>
        </is>
      </c>
      <c r="D15" s="9" t="inlineStr">
        <is>
          <t>000037483-000</t>
        </is>
      </c>
      <c r="E15" s="10" t="inlineStr">
        <is>
          <t>TRASP SDO A CTA COMIS LCAP 1080-0223 X 46 CAB DON BENJAMIN</t>
        </is>
      </c>
      <c r="F15" s="11" t="n">
        <v>1040000</v>
      </c>
      <c r="G15" s="11" t="n"/>
      <c r="H15" s="12">
        <f>H14+F15-G15</f>
        <v/>
      </c>
    </row>
    <row r="16">
      <c r="A16" s="13" t="n">
        <v>46297</v>
      </c>
      <c r="B16" s="8" t="n">
        <v>46289</v>
      </c>
      <c r="C16" s="9" t="inlineStr">
        <is>
          <t>NOO</t>
        </is>
      </c>
      <c r="D16" s="9" t="inlineStr">
        <is>
          <t>000037483-000</t>
        </is>
      </c>
      <c r="E16" s="10" t="inlineStr">
        <is>
          <t>TRASP SDO A CTA COMIS LCAP 1080-0270 X 2 CAB BADANO ELVIRA</t>
        </is>
      </c>
      <c r="F16" s="11" t="n">
        <v>206400</v>
      </c>
      <c r="G16" s="11" t="n"/>
      <c r="H16" s="12">
        <f>H15+F16-G16</f>
        <v/>
      </c>
    </row>
    <row r="17">
      <c r="A17" s="14" t="n">
        <v>46307</v>
      </c>
      <c r="B17" s="14" t="n">
        <v>46286</v>
      </c>
      <c r="C17" s="15" t="inlineStr">
        <is>
          <t>CVA</t>
        </is>
      </c>
      <c r="D17" s="15" t="inlineStr">
        <is>
          <t>1080-00000292</t>
        </is>
      </c>
      <c r="E17" s="16" t="inlineStr">
        <is>
          <t>TERRA GARBA S.A.C.A.I.Y F. (22306) - CAB. AP. 1 (FERIA-REP-CAB LA PELADA) Alícuota: 20.00 s/ Comis.Neta</t>
        </is>
      </c>
      <c r="F17" s="17" t="n"/>
      <c r="G17" s="17" t="n">
        <v>150000</v>
      </c>
      <c r="H17" s="18">
        <f>H16+F17-G17</f>
        <v/>
      </c>
    </row>
    <row r="18">
      <c r="A18" s="13" t="n">
        <v>46307</v>
      </c>
      <c r="B18" s="8" t="n">
        <v>46286</v>
      </c>
      <c r="C18" s="9" t="inlineStr">
        <is>
          <t>CVA</t>
        </is>
      </c>
      <c r="D18" s="9" t="inlineStr">
        <is>
          <t>1080-00000293</t>
        </is>
      </c>
      <c r="E18" s="10" t="inlineStr">
        <is>
          <t>TERRA GARBA S.A.C.A.I.Y F. (22306) - CAB. AP. 46 (FERIA-REP-CAB LA PELADA) Alícuota: 20.00 s/ Comis.Neta</t>
        </is>
      </c>
      <c r="F18" s="11" t="n"/>
      <c r="G18" s="11" t="n">
        <v>780000</v>
      </c>
      <c r="H18" s="12">
        <f>H17+F18-G18</f>
        <v/>
      </c>
    </row>
    <row r="19">
      <c r="A19" s="13" t="n">
        <v>46307</v>
      </c>
      <c r="B19" s="8" t="n">
        <v>46289</v>
      </c>
      <c r="C19" s="9" t="inlineStr">
        <is>
          <t>NOO</t>
        </is>
      </c>
      <c r="D19" s="9" t="inlineStr">
        <is>
          <t>000037483-000</t>
        </is>
      </c>
      <c r="E19" s="10" t="inlineStr">
        <is>
          <t>TRASP SDO A CTA COMIS CVAP 1080-0292 X 1 CAB TERRA GARBA</t>
        </is>
      </c>
      <c r="F19" s="11" t="n">
        <v>150000</v>
      </c>
      <c r="G19" s="11" t="n"/>
      <c r="H19" s="12">
        <f>H18+F19-G19</f>
        <v/>
      </c>
    </row>
    <row r="20">
      <c r="A20" s="13" t="n">
        <v>46307</v>
      </c>
      <c r="B20" s="8" t="n">
        <v>46289</v>
      </c>
      <c r="C20" s="9" t="inlineStr">
        <is>
          <t>NOO</t>
        </is>
      </c>
      <c r="D20" s="9" t="inlineStr">
        <is>
          <t>000037483-000</t>
        </is>
      </c>
      <c r="E20" s="10" t="inlineStr">
        <is>
          <t>TRASP SDO A CTA COMIS CVAP 1080-0293 X 46 CAB TERRA GARBA</t>
        </is>
      </c>
      <c r="F20" s="11" t="n">
        <v>780000</v>
      </c>
      <c r="G20" s="11" t="n"/>
      <c r="H20" s="12">
        <f>H19+F20-G20</f>
        <v/>
      </c>
    </row>
    <row r="21">
      <c r="A21" s="19" t="n"/>
      <c r="B21" s="19" t="n"/>
      <c r="C21" s="19" t="n"/>
      <c r="D21" s="19" t="n"/>
      <c r="E21" s="20" t="inlineStr">
        <is>
          <t>Total URANGA, JOAQUIN</t>
        </is>
      </c>
      <c r="F21" s="21">
        <f>SUM(F7:F20)</f>
        <v/>
      </c>
      <c r="G21" s="21">
        <f>SUM(G7:G20)</f>
        <v/>
      </c>
      <c r="H21" s="21">
        <f>H6+F21-G21</f>
        <v/>
      </c>
    </row>
    <row r="22">
      <c r="E22" s="22" t="inlineStr">
        <is>
          <t>Control: saldo actual según PDF</t>
        </is>
      </c>
      <c r="H22" s="23" t="n">
        <v>0</v>
      </c>
      <c r="I22" s="24">
        <f>IF(ABS(H22-H21)&lt;0.01,"OK","DIF")</f>
        <v/>
      </c>
    </row>
    <row r="24">
      <c r="A24" s="4" t="inlineStr">
        <is>
          <t>52502 - AGRO SALADO SRL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E25" s="6" t="inlineStr">
        <is>
          <t>Saldo al inicio del período</t>
        </is>
      </c>
      <c r="H25" s="7" t="n">
        <v>-17780790.4</v>
      </c>
    </row>
    <row r="26">
      <c r="A26" s="8" t="n">
        <v>46237</v>
      </c>
      <c r="B26" s="8" t="n">
        <v>46203</v>
      </c>
      <c r="C26" s="9" t="inlineStr">
        <is>
          <t>CVA</t>
        </is>
      </c>
      <c r="D26" s="9" t="inlineStr">
        <is>
          <t>1017-00001130</t>
        </is>
      </c>
      <c r="E26" s="10" t="inlineStr">
        <is>
          <t>AGROPECUARIA LA LIBERTAD S.R.L. (44699) - CAB. AP. 35 (TV- INV-TAP) Alícuota: 2.25 s/ Bruto</t>
        </is>
      </c>
      <c r="F26" s="11" t="n"/>
      <c r="G26" s="11" t="n">
        <v>1378125</v>
      </c>
      <c r="H26" s="12">
        <f>H25+F26-G26</f>
        <v/>
      </c>
    </row>
    <row r="27">
      <c r="A27" s="13" t="n">
        <v>46237</v>
      </c>
      <c r="B27" s="8" t="n">
        <v>46203</v>
      </c>
      <c r="C27" s="9" t="inlineStr">
        <is>
          <t>CVA</t>
        </is>
      </c>
      <c r="D27" s="9" t="inlineStr">
        <is>
          <t>1017-00001136</t>
        </is>
      </c>
      <c r="E27" s="10" t="inlineStr">
        <is>
          <t>GALDOS, JUAN GERMAN (31998) - CAB. AP. 98 (TV-INV-TAP) Alícuota: 1.42 s/ Bruto</t>
        </is>
      </c>
      <c r="F27" s="11" t="n"/>
      <c r="G27" s="11" t="n">
        <v>2214307.67</v>
      </c>
      <c r="H27" s="12">
        <f>H26+F27-G27</f>
        <v/>
      </c>
    </row>
    <row r="28">
      <c r="A28" s="13" t="n">
        <v>46237</v>
      </c>
      <c r="B28" s="8" t="n">
        <v>46209</v>
      </c>
      <c r="C28" s="9" t="inlineStr">
        <is>
          <t>CVA</t>
        </is>
      </c>
      <c r="D28" s="9" t="inlineStr">
        <is>
          <t>1017-00001189</t>
        </is>
      </c>
      <c r="E28" s="10" t="inlineStr">
        <is>
          <t>ENRIQUE GARAT AGROPECUARIA S.A. (29329) - CAB. AP. 29 (TV- INV-TAP) Alícuota: 2.25 s/ Bruto</t>
        </is>
      </c>
      <c r="F28" s="11" t="n"/>
      <c r="G28" s="11" t="n">
        <v>1154925</v>
      </c>
      <c r="H28" s="12">
        <f>H27+F28-G28</f>
        <v/>
      </c>
    </row>
    <row r="29">
      <c r="A29" s="13" t="n">
        <v>46237</v>
      </c>
      <c r="B29" s="8" t="n">
        <v>46220</v>
      </c>
      <c r="C29" s="9" t="inlineStr">
        <is>
          <t>CVA</t>
        </is>
      </c>
      <c r="D29" s="9" t="inlineStr">
        <is>
          <t>1017-00001271</t>
        </is>
      </c>
      <c r="E29" s="10" t="inlineStr">
        <is>
          <t>GALDOS, JUAN GERMAN (31998) - CAB. AP. 550 (TV-INV-TAP) Alícuota: 1.42 s/ Bruto</t>
        </is>
      </c>
      <c r="F29" s="11" t="n"/>
      <c r="G29" s="11" t="n">
        <v>12191839.55</v>
      </c>
      <c r="H29" s="12">
        <f>H28+F29-G29</f>
        <v/>
      </c>
    </row>
    <row r="30">
      <c r="A30" s="13" t="n">
        <v>46237</v>
      </c>
      <c r="B30" s="8" t="n">
        <v>46237</v>
      </c>
      <c r="C30" s="9" t="inlineStr">
        <is>
          <t>FPA</t>
        </is>
      </c>
      <c r="D30" s="9" t="inlineStr">
        <is>
          <t>000007590-000</t>
        </is>
      </c>
      <c r="E30" s="10" t="inlineStr">
        <is>
          <t>FA 3637 C:07-2026 HAC</t>
        </is>
      </c>
      <c r="F30" s="11" t="n">
        <v>13470000</v>
      </c>
      <c r="G30" s="11" t="n"/>
      <c r="H30" s="12">
        <f>H29+F30-G30</f>
        <v/>
      </c>
    </row>
    <row r="31">
      <c r="A31" s="14" t="n">
        <v>46240</v>
      </c>
      <c r="B31" s="14" t="n">
        <v>46181</v>
      </c>
      <c r="C31" s="15" t="inlineStr">
        <is>
          <t>CVA</t>
        </is>
      </c>
      <c r="D31" s="15" t="inlineStr">
        <is>
          <t>1002-00009280</t>
        </is>
      </c>
      <c r="E31" s="16" t="inlineStr">
        <is>
          <t>HIRIART, WILFREDO DANIEL (47832) - CAB. AP. 62 (PAR-INV- HEN) Alícuota: 1.75 s/ Bruto</t>
        </is>
      </c>
      <c r="F31" s="17" t="n"/>
      <c r="G31" s="17" t="n">
        <v>1508773.88</v>
      </c>
      <c r="H31" s="18">
        <f>H30+F31-G31</f>
        <v/>
      </c>
    </row>
    <row r="32">
      <c r="A32" s="13" t="n">
        <v>46240</v>
      </c>
      <c r="B32" s="8" t="n">
        <v>46209</v>
      </c>
      <c r="C32" s="9" t="inlineStr">
        <is>
          <t>CVA</t>
        </is>
      </c>
      <c r="D32" s="9" t="inlineStr">
        <is>
          <t>1017-00001201</t>
        </is>
      </c>
      <c r="E32" s="10" t="inlineStr">
        <is>
          <t>MALEN-LAUQUEN SA (60494) - CAB. AP. 93 (TV-INV-TAP) Alícuota: 1.67 s/ Bruto</t>
        </is>
      </c>
      <c r="F32" s="11" t="n"/>
      <c r="G32" s="11" t="n">
        <v>1984408.9</v>
      </c>
      <c r="H32" s="12">
        <f>H31+F32-G32</f>
        <v/>
      </c>
    </row>
    <row r="33">
      <c r="A33" s="13" t="n">
        <v>46240</v>
      </c>
      <c r="B33" s="8" t="n">
        <v>46210</v>
      </c>
      <c r="C33" s="9" t="inlineStr">
        <is>
          <t>CVA</t>
        </is>
      </c>
      <c r="D33" s="9" t="inlineStr">
        <is>
          <t>1017-00001209</t>
        </is>
      </c>
      <c r="E33" s="10" t="inlineStr">
        <is>
          <t>MALEN-LAUQUEN SA (60494) - CAB. AP. 89 (TV-INV-TAP) Alícuota: 1.42 s/ Bruto</t>
        </is>
      </c>
      <c r="F33" s="11" t="n"/>
      <c r="G33" s="11" t="n">
        <v>1698566.51</v>
      </c>
      <c r="H33" s="12">
        <f>H32+F33-G33</f>
        <v/>
      </c>
    </row>
    <row r="34">
      <c r="A34" s="14" t="n">
        <v>46241</v>
      </c>
      <c r="B34" s="14" t="n">
        <v>46182</v>
      </c>
      <c r="C34" s="15" t="inlineStr">
        <is>
          <t>CVA</t>
        </is>
      </c>
      <c r="D34" s="15" t="inlineStr">
        <is>
          <t>1002-00009290</t>
        </is>
      </c>
      <c r="E34" s="16" t="inlineStr">
        <is>
          <t>CHAMPAGNAT Y LIBERTAD S.A. (33714) - CAB. AP. 67 (PAR-INV- HEN) Alícuota: 1.75 s/ Bruto</t>
        </is>
      </c>
      <c r="F34" s="17" t="n"/>
      <c r="G34" s="17" t="n">
        <v>614081.65</v>
      </c>
      <c r="H34" s="18">
        <f>H33+F34-G34</f>
        <v/>
      </c>
    </row>
    <row r="35">
      <c r="A35" s="13" t="n">
        <v>46241</v>
      </c>
      <c r="B35" s="8" t="n">
        <v>46191</v>
      </c>
      <c r="C35" s="9" t="inlineStr">
        <is>
          <t>NOO</t>
        </is>
      </c>
      <c r="D35" s="9" t="inlineStr">
        <is>
          <t>000035010-000</t>
        </is>
      </c>
      <c r="E35" s="10" t="inlineStr">
        <is>
          <t>TRASP SDO DE CTA COMIS JOAQUIN URANGA CVAP 1002-9290 CHAMPAGNAT Y LIBERTAD X 67 CAB INV 1.75%</t>
        </is>
      </c>
      <c r="F35" s="11" t="n"/>
      <c r="G35" s="11" t="n">
        <v>596340.4300000001</v>
      </c>
      <c r="H35" s="12">
        <f>H34+F35-G35</f>
        <v/>
      </c>
    </row>
    <row r="36">
      <c r="A36" s="13" t="n">
        <v>46241</v>
      </c>
      <c r="B36" s="8" t="n">
        <v>46211</v>
      </c>
      <c r="C36" s="9" t="inlineStr">
        <is>
          <t>CVA</t>
        </is>
      </c>
      <c r="D36" s="9" t="inlineStr">
        <is>
          <t>1048-00029441</t>
        </is>
      </c>
      <c r="E36" s="10" t="inlineStr">
        <is>
          <t>DOÑA JULIA S.A. (43342) - CAB. AP. 13 (MER-FAE-MER) Alícuota: 0.95 s/ Bruto</t>
        </is>
      </c>
      <c r="F36" s="11" t="n"/>
      <c r="G36" s="11" t="n">
        <v>201622.3</v>
      </c>
      <c r="H36" s="12">
        <f>H35+F36-G36</f>
        <v/>
      </c>
    </row>
    <row r="37">
      <c r="A37" s="13" t="n">
        <v>46241</v>
      </c>
      <c r="B37" s="8" t="n">
        <v>46225</v>
      </c>
      <c r="C37" s="9" t="inlineStr">
        <is>
          <t>CVA</t>
        </is>
      </c>
      <c r="D37" s="9" t="inlineStr">
        <is>
          <t>1006-00008359</t>
        </is>
      </c>
      <c r="E37" s="10" t="inlineStr">
        <is>
          <t>AGROPECUARIA BIGBUR SAS (44714) - CAB. AP. 3 (FERIA-FAE- CHA) Alícuota: 2.00 s/ Bruto</t>
        </is>
      </c>
      <c r="F37" s="11" t="n"/>
      <c r="G37" s="11" t="n">
        <v>61343.6</v>
      </c>
      <c r="H37" s="12">
        <f>H36+F37-G37</f>
        <v/>
      </c>
    </row>
    <row r="38">
      <c r="A38" s="13" t="n">
        <v>46241</v>
      </c>
      <c r="B38" s="8" t="n">
        <v>46225</v>
      </c>
      <c r="C38" s="9" t="inlineStr">
        <is>
          <t>CVA</t>
        </is>
      </c>
      <c r="D38" s="9" t="inlineStr">
        <is>
          <t>1006-00008371</t>
        </is>
      </c>
      <c r="E38" s="10" t="inlineStr">
        <is>
          <t>EL PIQUILLIN S. A. S. (48478) - CAB. AP. 2 (FERIA-FAE-CHA) Alícuota: 2.00 s/ Bruto</t>
        </is>
      </c>
      <c r="F38" s="11" t="n"/>
      <c r="G38" s="11" t="n">
        <v>32886</v>
      </c>
      <c r="H38" s="12">
        <f>H37+F38-G38</f>
        <v/>
      </c>
    </row>
    <row r="39">
      <c r="A39" s="13" t="n">
        <v>46241</v>
      </c>
      <c r="B39" s="8" t="n">
        <v>46225</v>
      </c>
      <c r="C39" s="9" t="inlineStr">
        <is>
          <t>CVA</t>
        </is>
      </c>
      <c r="D39" s="9" t="inlineStr">
        <is>
          <t>1006-00008372</t>
        </is>
      </c>
      <c r="E39" s="10" t="inlineStr">
        <is>
          <t>EL PIQUILLIN S. A. S. (48478) - CAB. AP. 1 (FERIA-FAE-CHA) Alícuota: 2.00 s/ Bruto</t>
        </is>
      </c>
      <c r="F39" s="11" t="n"/>
      <c r="G39" s="11" t="n">
        <v>29078</v>
      </c>
      <c r="H39" s="12">
        <f>H38+F39-G39</f>
        <v/>
      </c>
    </row>
    <row r="40">
      <c r="A40" s="13" t="n">
        <v>46241</v>
      </c>
      <c r="B40" s="8" t="n">
        <v>46230</v>
      </c>
      <c r="C40" s="9" t="inlineStr">
        <is>
          <t>ACV</t>
        </is>
      </c>
      <c r="D40" s="9" t="inlineStr">
        <is>
          <t>1006-00008436</t>
        </is>
      </c>
      <c r="E40" s="10" t="inlineStr">
        <is>
          <t>EL PIQUILLIN S. A. S. (48478) - CAB. AP. 1 (FERIA-FAE-CHA) Alícuota: 2.00 s/ Bruto</t>
        </is>
      </c>
      <c r="F40" s="11" t="n">
        <v>29078</v>
      </c>
      <c r="G40" s="11" t="n"/>
      <c r="H40" s="12">
        <f>H39+F40-G40</f>
        <v/>
      </c>
    </row>
    <row r="41">
      <c r="A41" s="13" t="n">
        <v>46241</v>
      </c>
      <c r="B41" s="8" t="n">
        <v>46231</v>
      </c>
      <c r="C41" s="9" t="inlineStr">
        <is>
          <t>CVA</t>
        </is>
      </c>
      <c r="D41" s="9" t="inlineStr">
        <is>
          <t>1006-00008437</t>
        </is>
      </c>
      <c r="E41" s="10" t="inlineStr">
        <is>
          <t>EL PIQUILLIN S. A. S. (48478) - CAB. AP. 1 (FERIA-FAE-CHA) Alícuota: 2.00 s/ Bruto</t>
        </is>
      </c>
      <c r="F41" s="11" t="n"/>
      <c r="G41" s="11" t="n">
        <v>29078</v>
      </c>
      <c r="H41" s="12">
        <f>H40+F41-G41</f>
        <v/>
      </c>
    </row>
    <row r="42">
      <c r="A42" s="13" t="n">
        <v>46241</v>
      </c>
      <c r="B42" s="8" t="n">
        <v>46233</v>
      </c>
      <c r="C42" s="9" t="inlineStr">
        <is>
          <t>NOO</t>
        </is>
      </c>
      <c r="D42" s="9" t="inlineStr">
        <is>
          <t>000036093-000</t>
        </is>
      </c>
      <c r="E42" s="10" t="inlineStr">
        <is>
          <t>TRASP SDO A CTA COMIS AGRO SALADO CVAP 1048-29439 X 4 CAB RIVERO JORGE EDUARDO FAENA 1.50%</t>
        </is>
      </c>
      <c r="F42" s="11" t="n"/>
      <c r="G42" s="11" t="n">
        <v>49170</v>
      </c>
      <c r="H42" s="12">
        <f>H41+F42-G42</f>
        <v/>
      </c>
    </row>
    <row r="43">
      <c r="A43" s="14" t="n">
        <v>46245</v>
      </c>
      <c r="B43" s="14" t="n">
        <v>46161</v>
      </c>
      <c r="C43" s="15" t="inlineStr">
        <is>
          <t>CVA</t>
        </is>
      </c>
      <c r="D43" s="15" t="inlineStr">
        <is>
          <t>1006-00008183</t>
        </is>
      </c>
      <c r="E43" s="16" t="inlineStr">
        <is>
          <t>UKU SRL (45725) - CAB. AP. 226 (FERIA-CRIA-CHA) Alícuota: 2.00 s/ Bruto</t>
        </is>
      </c>
      <c r="F43" s="17" t="n"/>
      <c r="G43" s="17" t="n">
        <v>11331200</v>
      </c>
      <c r="H43" s="18">
        <f>H42+F43-G43</f>
        <v/>
      </c>
    </row>
    <row r="44">
      <c r="A44" s="13" t="n">
        <v>46245</v>
      </c>
      <c r="B44" s="8" t="n">
        <v>46161</v>
      </c>
      <c r="C44" s="9" t="inlineStr">
        <is>
          <t>CVA</t>
        </is>
      </c>
      <c r="D44" s="9" t="inlineStr">
        <is>
          <t>1006-00008184</t>
        </is>
      </c>
      <c r="E44" s="10" t="inlineStr">
        <is>
          <t>UKU SRL (45725) - CAB. AP. 66 (FERIA-CRIA-CHA) Alícuota: 2.00 s/ Bruto</t>
        </is>
      </c>
      <c r="F44" s="11" t="n"/>
      <c r="G44" s="11" t="n">
        <v>3368400</v>
      </c>
      <c r="H44" s="12">
        <f>H43+F44-G44</f>
        <v/>
      </c>
    </row>
    <row r="45">
      <c r="A45" s="13" t="n">
        <v>46245</v>
      </c>
      <c r="B45" s="8" t="n">
        <v>46161</v>
      </c>
      <c r="C45" s="9" t="inlineStr">
        <is>
          <t>CVA</t>
        </is>
      </c>
      <c r="D45" s="9" t="inlineStr">
        <is>
          <t>1006-00008221</t>
        </is>
      </c>
      <c r="E45" s="10" t="inlineStr">
        <is>
          <t>UKU SRL (45725) - CAB. AP. 1 (FERIA-INV-CHA) Alícuota: 2.00 s/ Bruto</t>
        </is>
      </c>
      <c r="F45" s="11" t="n"/>
      <c r="G45" s="11" t="n">
        <v>36400</v>
      </c>
      <c r="H45" s="12">
        <f>H44+F45-G45</f>
        <v/>
      </c>
    </row>
    <row r="46">
      <c r="A46" s="13" t="n">
        <v>46245</v>
      </c>
      <c r="B46" s="8" t="n">
        <v>46162</v>
      </c>
      <c r="C46" s="9" t="inlineStr">
        <is>
          <t>ACV</t>
        </is>
      </c>
      <c r="D46" s="9" t="inlineStr">
        <is>
          <t>1006-00008272</t>
        </is>
      </c>
      <c r="E46" s="10" t="inlineStr">
        <is>
          <t>UKU SRL (45725) - CAB. AP. 226 (FERIA-CRIA-CHA) Alícuota: 2.00 s/ Bruto</t>
        </is>
      </c>
      <c r="F46" s="11" t="n">
        <v>11331200</v>
      </c>
      <c r="G46" s="11" t="n"/>
      <c r="H46" s="12">
        <f>H45+F46-G46</f>
        <v/>
      </c>
    </row>
    <row r="47">
      <c r="A47" s="13" t="n">
        <v>46245</v>
      </c>
      <c r="B47" s="8" t="n">
        <v>46162</v>
      </c>
      <c r="C47" s="9" t="inlineStr">
        <is>
          <t>CVA</t>
        </is>
      </c>
      <c r="D47" s="9" t="inlineStr">
        <is>
          <t>1006-00008273</t>
        </is>
      </c>
      <c r="E47" s="10" t="inlineStr">
        <is>
          <t>UKU SRL (45725) - CAB. AP. 227 (FERIA-CRIA-CHA) Alícuota: 2.00 s/ Bruto</t>
        </is>
      </c>
      <c r="F47" s="11" t="n"/>
      <c r="G47" s="11" t="n">
        <v>11382600</v>
      </c>
      <c r="H47" s="12">
        <f>H46+F47-G47</f>
        <v/>
      </c>
    </row>
    <row r="48">
      <c r="A48" s="13" t="n">
        <v>46245</v>
      </c>
      <c r="B48" s="8" t="n">
        <v>46195</v>
      </c>
      <c r="C48" s="9" t="inlineStr">
        <is>
          <t>NOO</t>
        </is>
      </c>
      <c r="D48" s="9" t="inlineStr">
        <is>
          <t>000035064-000</t>
        </is>
      </c>
      <c r="E48" s="10" t="inlineStr">
        <is>
          <t>MODIFICACION DE FECHA DE VENCIMIENTO CVAP 1006-8184 X 66 CAB UKU</t>
        </is>
      </c>
      <c r="F48" s="11" t="n">
        <v>3368400</v>
      </c>
      <c r="G48" s="11" t="n"/>
      <c r="H48" s="12">
        <f>H47+F48-G48</f>
        <v/>
      </c>
    </row>
    <row r="49">
      <c r="A49" s="13" t="n">
        <v>46245</v>
      </c>
      <c r="B49" s="8" t="n">
        <v>46195</v>
      </c>
      <c r="C49" s="9" t="inlineStr">
        <is>
          <t>NOO</t>
        </is>
      </c>
      <c r="D49" s="9" t="inlineStr">
        <is>
          <t>000035064-000</t>
        </is>
      </c>
      <c r="E49" s="10" t="inlineStr">
        <is>
          <t>MODIFICACION DE FECHA DE VENCIMIENTO CVAP 1006-8273 X 227 CAB UKU</t>
        </is>
      </c>
      <c r="F49" s="11" t="n">
        <v>11382600</v>
      </c>
      <c r="G49" s="11" t="n"/>
      <c r="H49" s="12">
        <f>H48+F49-G49</f>
        <v/>
      </c>
    </row>
    <row r="50">
      <c r="A50" s="13" t="n">
        <v>46245</v>
      </c>
      <c r="B50" s="8" t="n">
        <v>46203</v>
      </c>
      <c r="C50" s="9" t="inlineStr">
        <is>
          <t>NOO</t>
        </is>
      </c>
      <c r="D50" s="9" t="inlineStr">
        <is>
          <t>000035347-000</t>
        </is>
      </c>
      <c r="E50" s="10" t="inlineStr">
        <is>
          <t>F12224 NC X 1 CAB QUEBRADA UKU</t>
        </is>
      </c>
      <c r="F50" s="11" t="n">
        <v>756000</v>
      </c>
      <c r="G50" s="11" t="n"/>
      <c r="H50" s="12">
        <f>H49+F50-G50</f>
        <v/>
      </c>
    </row>
    <row r="51">
      <c r="A51" s="13" t="n">
        <v>46245</v>
      </c>
      <c r="B51" s="8" t="n">
        <v>46230</v>
      </c>
      <c r="C51" s="9" t="inlineStr">
        <is>
          <t>CVA</t>
        </is>
      </c>
      <c r="D51" s="9" t="inlineStr">
        <is>
          <t>1002-00009594</t>
        </is>
      </c>
      <c r="E51" s="10" t="inlineStr">
        <is>
          <t>SGRO, ANA MARIA (44601) - CAB. AP. 6 (PAR-FAE-HEN) Alícuota: 1.50 s/ Bruto</t>
        </is>
      </c>
      <c r="F51" s="11" t="n"/>
      <c r="G51" s="11" t="n">
        <v>186998.22</v>
      </c>
      <c r="H51" s="12">
        <f>H50+F51-G51</f>
        <v/>
      </c>
    </row>
    <row r="52">
      <c r="A52" s="14" t="n">
        <v>46248</v>
      </c>
      <c r="B52" s="14" t="n">
        <v>46225</v>
      </c>
      <c r="C52" s="15" t="inlineStr">
        <is>
          <t>CVA</t>
        </is>
      </c>
      <c r="D52" s="15" t="inlineStr">
        <is>
          <t>1006-00008395</t>
        </is>
      </c>
      <c r="E52" s="16" t="inlineStr">
        <is>
          <t>RIVERO, JORGE EDUARDO (41963) - CAB. AP. 28 (FERIA-INV- CHA) Alícuota: 2.00 s/ Bruto</t>
        </is>
      </c>
      <c r="F52" s="17" t="n"/>
      <c r="G52" s="17" t="n">
        <v>569875.6</v>
      </c>
      <c r="H52" s="18">
        <f>H51+F52-G52</f>
        <v/>
      </c>
    </row>
    <row r="53">
      <c r="A53" s="13" t="n">
        <v>46248</v>
      </c>
      <c r="B53" s="8" t="n">
        <v>46225</v>
      </c>
      <c r="C53" s="9" t="inlineStr">
        <is>
          <t>CVA</t>
        </is>
      </c>
      <c r="D53" s="9" t="inlineStr">
        <is>
          <t>1006-00008419</t>
        </is>
      </c>
      <c r="E53" s="10" t="inlineStr">
        <is>
          <t>RIVERO, JORGE EDUARDO (41963) - CAB. AP. 8 (FERIA-CRIA- CHA) Alícuota: 2.00 s/ Bruto</t>
        </is>
      </c>
      <c r="F53" s="11" t="n"/>
      <c r="G53" s="11" t="n">
        <v>184000</v>
      </c>
      <c r="H53" s="12">
        <f>H52+F53-G53</f>
        <v/>
      </c>
    </row>
    <row r="54">
      <c r="A54" s="13" t="n">
        <v>46248</v>
      </c>
      <c r="B54" s="8" t="n">
        <v>46225</v>
      </c>
      <c r="C54" s="9" t="inlineStr">
        <is>
          <t>CVA</t>
        </is>
      </c>
      <c r="D54" s="9" t="inlineStr">
        <is>
          <t>1006-00008425</t>
        </is>
      </c>
      <c r="E54" s="10" t="inlineStr">
        <is>
          <t>RIVERO, JORGE EDUARDO (41963) - CAB. AP. 22 (FERIA-INV- CHA) Alícuota: 2.00 s/ Bruto</t>
        </is>
      </c>
      <c r="F54" s="11" t="n"/>
      <c r="G54" s="11" t="n">
        <v>465256</v>
      </c>
      <c r="H54" s="12">
        <f>H53+F54-G54</f>
        <v/>
      </c>
    </row>
    <row r="55">
      <c r="A55" s="14" t="n">
        <v>46258</v>
      </c>
      <c r="B55" s="14" t="n">
        <v>46232</v>
      </c>
      <c r="C55" s="15" t="inlineStr">
        <is>
          <t>CVA</t>
        </is>
      </c>
      <c r="D55" s="15" t="inlineStr">
        <is>
          <t>1003-00007190</t>
        </is>
      </c>
      <c r="E55" s="16" t="inlineStr">
        <is>
          <t>GALDOS, JUAN GERMAN (31998) - CAB. AP. 324 (TV-INV-TTL) Alícuota: 1.42 s/ Bruto</t>
        </is>
      </c>
      <c r="F55" s="17" t="n"/>
      <c r="G55" s="17" t="n">
        <v>5791285.4</v>
      </c>
      <c r="H55" s="18">
        <f>H54+F55-G55</f>
        <v/>
      </c>
    </row>
    <row r="56">
      <c r="A56" s="13" t="n">
        <v>46258</v>
      </c>
      <c r="B56" s="8" t="n">
        <v>46237</v>
      </c>
      <c r="C56" s="9" t="inlineStr">
        <is>
          <t>FPA</t>
        </is>
      </c>
      <c r="D56" s="9" t="inlineStr">
        <is>
          <t>000007591-000</t>
        </is>
      </c>
      <c r="E56" s="10" t="inlineStr">
        <is>
          <t>FA 3638 C:07-2026</t>
        </is>
      </c>
      <c r="F56" s="11" t="n">
        <v>34000000</v>
      </c>
      <c r="G56" s="11" t="n"/>
      <c r="H56" s="12">
        <f>H55+F56-G56</f>
        <v/>
      </c>
    </row>
    <row r="57">
      <c r="A57" s="13" t="n">
        <v>46258</v>
      </c>
      <c r="B57" s="8" t="n">
        <v>46258</v>
      </c>
      <c r="C57" s="9" t="inlineStr">
        <is>
          <t>FPA</t>
        </is>
      </c>
      <c r="D57" s="9" t="inlineStr">
        <is>
          <t>000008140-000</t>
        </is>
      </c>
      <c r="E57" s="10" t="inlineStr">
        <is>
          <t>FA 3650 C:08-2026</t>
        </is>
      </c>
      <c r="F57" s="11" t="n">
        <v>8000000</v>
      </c>
      <c r="G57" s="11" t="n"/>
      <c r="H57" s="12">
        <f>H56+F57-G57</f>
        <v/>
      </c>
    </row>
    <row r="58">
      <c r="A58" s="14" t="n">
        <v>46261</v>
      </c>
      <c r="B58" s="14" t="n">
        <v>46228</v>
      </c>
      <c r="C58" s="15" t="inlineStr">
        <is>
          <t>ACV</t>
        </is>
      </c>
      <c r="D58" s="15" t="inlineStr">
        <is>
          <t>1002-00009579</t>
        </is>
      </c>
      <c r="E58" s="16" t="inlineStr">
        <is>
          <t>LA PORFIA SOCIEDAD COLECTIVA (44673) - CAB. AP. 150 (PAR- INV-HEN) Alícuota: 1.50 s/ Bruto</t>
        </is>
      </c>
      <c r="F58" s="17" t="n">
        <v>2290362</v>
      </c>
      <c r="G58" s="17" t="n"/>
      <c r="H58" s="18">
        <f>H57+F58-G58</f>
        <v/>
      </c>
    </row>
    <row r="59">
      <c r="A59" s="13" t="n">
        <v>46261</v>
      </c>
      <c r="B59" s="8" t="n">
        <v>46228</v>
      </c>
      <c r="C59" s="9" t="inlineStr">
        <is>
          <t>CVA</t>
        </is>
      </c>
      <c r="D59" s="9" t="inlineStr">
        <is>
          <t>1002-00009578</t>
        </is>
      </c>
      <c r="E59" s="10" t="inlineStr">
        <is>
          <t>LA PORFIA SOCIEDAD COLECTIVA (44673) - CAB. AP. 150 (PAR- INV-HEN) Alícuota: 1.50 s/ Bruto</t>
        </is>
      </c>
      <c r="F59" s="11" t="n"/>
      <c r="G59" s="11" t="n">
        <v>2290362</v>
      </c>
      <c r="H59" s="12">
        <f>H58+F59-G59</f>
        <v/>
      </c>
    </row>
    <row r="60">
      <c r="A60" s="13" t="n">
        <v>46261</v>
      </c>
      <c r="B60" s="8" t="n">
        <v>46228</v>
      </c>
      <c r="C60" s="9" t="inlineStr">
        <is>
          <t>CVA</t>
        </is>
      </c>
      <c r="D60" s="9" t="inlineStr">
        <is>
          <t>1002-00009580</t>
        </is>
      </c>
      <c r="E60" s="10" t="inlineStr">
        <is>
          <t>LA PORFIA SOCIEDAD COLECTIVA (44673) - CAB. AP. 150 (PAR- INV-HEN) Alícuota: 1.50 s/ Bruto</t>
        </is>
      </c>
      <c r="F60" s="11" t="n"/>
      <c r="G60" s="11" t="n">
        <v>2290362</v>
      </c>
      <c r="H60" s="12">
        <f>H59+F60-G60</f>
        <v/>
      </c>
    </row>
    <row r="61">
      <c r="A61" s="13" t="n">
        <v>46261</v>
      </c>
      <c r="B61" s="8" t="n">
        <v>46231</v>
      </c>
      <c r="C61" s="9" t="inlineStr">
        <is>
          <t>CVA</t>
        </is>
      </c>
      <c r="D61" s="9" t="inlineStr">
        <is>
          <t>1002-00009597</t>
        </is>
      </c>
      <c r="E61" s="10" t="inlineStr">
        <is>
          <t>LA PORFIA SOCIEDAD COLECTIVA (44673) - CAB. AP. 70 (PAR- INV-HEN) Alícuota: 1.50 s/ Bruto</t>
        </is>
      </c>
      <c r="F61" s="11" t="n"/>
      <c r="G61" s="11" t="n">
        <v>1231314</v>
      </c>
      <c r="H61" s="12">
        <f>H60+F61-G61</f>
        <v/>
      </c>
    </row>
    <row r="62">
      <c r="A62" s="13" t="n">
        <v>46261</v>
      </c>
      <c r="B62" s="8" t="n">
        <v>46231</v>
      </c>
      <c r="C62" s="9" t="inlineStr">
        <is>
          <t>CVA</t>
        </is>
      </c>
      <c r="D62" s="9" t="inlineStr">
        <is>
          <t>1048-00029565</t>
        </is>
      </c>
      <c r="E62" s="10" t="inlineStr">
        <is>
          <t>DOÑA JULIA S.A. (43342) - CAB. AP. 6 (MER-INV-MER) Alícuota: 0.95 s/ Bruto</t>
        </is>
      </c>
      <c r="F62" s="11" t="n"/>
      <c r="G62" s="11" t="n">
        <v>131028.75</v>
      </c>
      <c r="H62" s="12">
        <f>H61+F62-G62</f>
        <v/>
      </c>
    </row>
    <row r="63">
      <c r="A63" s="13" t="n">
        <v>46261</v>
      </c>
      <c r="B63" s="8" t="n">
        <v>46231</v>
      </c>
      <c r="C63" s="9" t="inlineStr">
        <is>
          <t>CVA</t>
        </is>
      </c>
      <c r="D63" s="9" t="inlineStr">
        <is>
          <t>1048-00029566</t>
        </is>
      </c>
      <c r="E63" s="10" t="inlineStr">
        <is>
          <t>SGRO, ANA MARIA (44601) - CAB. AP. 1 (MER-INV-MER) Alícuota: 1.50 s/ Bruto</t>
        </is>
      </c>
      <c r="F63" s="11" t="n"/>
      <c r="G63" s="11" t="n">
        <v>38137.5</v>
      </c>
      <c r="H63" s="12">
        <f>H62+F63-G63</f>
        <v/>
      </c>
    </row>
    <row r="64">
      <c r="A64" s="13" t="n">
        <v>46261</v>
      </c>
      <c r="B64" s="8" t="n">
        <v>46231</v>
      </c>
      <c r="C64" s="9" t="inlineStr">
        <is>
          <t>CVA</t>
        </is>
      </c>
      <c r="D64" s="9" t="inlineStr">
        <is>
          <t>1048-00029575</t>
        </is>
      </c>
      <c r="E64" s="10" t="inlineStr">
        <is>
          <t>DOÑA JULIA S.A. (43342) - CAB. AP. 1 (MER-FAE-MER) Alícuota: 0.95 s/ Bruto</t>
        </is>
      </c>
      <c r="F64" s="11" t="n"/>
      <c r="G64" s="11" t="n">
        <v>16292.5</v>
      </c>
      <c r="H64" s="12">
        <f>H63+F64-G64</f>
        <v/>
      </c>
    </row>
    <row r="65">
      <c r="A65" s="13" t="n">
        <v>46261</v>
      </c>
      <c r="B65" s="8" t="n">
        <v>46231</v>
      </c>
      <c r="C65" s="9" t="inlineStr">
        <is>
          <t>CVA</t>
        </is>
      </c>
      <c r="D65" s="9" t="inlineStr">
        <is>
          <t>1048-00029576</t>
        </is>
      </c>
      <c r="E65" s="10" t="inlineStr">
        <is>
          <t>SGRO, ANA MARIA (44601) - CAB. AP. 2 (MER-FAE-MER) Alícuota: 1.50 s/ Bruto</t>
        </is>
      </c>
      <c r="F65" s="11" t="n"/>
      <c r="G65" s="11" t="n">
        <v>55620</v>
      </c>
      <c r="H65" s="12">
        <f>H64+F65-G65</f>
        <v/>
      </c>
    </row>
    <row r="66">
      <c r="A66" s="13" t="n">
        <v>46261</v>
      </c>
      <c r="B66" s="8" t="n">
        <v>46265</v>
      </c>
      <c r="C66" s="9" t="inlineStr">
        <is>
          <t>LCAP</t>
        </is>
      </c>
      <c r="D66" s="9" t="inlineStr">
        <is>
          <t>1002-00010314</t>
        </is>
      </c>
      <c r="E66" s="10" t="inlineStr">
        <is>
          <t>S. E. D. A. P. I .C. S.A. (48426) - CAB. AP. 60 (TV-INV-HEN) Alícuota: 1.25 s/ Bruto</t>
        </is>
      </c>
      <c r="F66" s="11" t="n"/>
      <c r="G66" s="11" t="n">
        <v>971505</v>
      </c>
      <c r="H66" s="12">
        <f>H65+F66-G66</f>
        <v/>
      </c>
    </row>
    <row r="67">
      <c r="A67" s="14" t="n">
        <v>46264</v>
      </c>
      <c r="B67" s="14" t="n">
        <v>46248</v>
      </c>
      <c r="C67" s="15" t="inlineStr">
        <is>
          <t>LCAP</t>
        </is>
      </c>
      <c r="D67" s="15" t="inlineStr">
        <is>
          <t>1007-00001225</t>
        </is>
      </c>
      <c r="E67" s="16" t="inlineStr">
        <is>
          <t>LA MILAGROSA DEL SALADO S.R.L. (80056) - CAB. AP. 1 (FERIA- REP-FLO) Alícuota: 2.00 s/ Bruto</t>
        </is>
      </c>
      <c r="F67" s="17" t="n"/>
      <c r="G67" s="17" t="n">
        <v>200000</v>
      </c>
      <c r="H67" s="18">
        <f>H66+F67-G67</f>
        <v/>
      </c>
    </row>
    <row r="68">
      <c r="A68" s="14" t="n">
        <v>46265</v>
      </c>
      <c r="B68" s="14" t="n">
        <v>46232</v>
      </c>
      <c r="C68" s="15" t="inlineStr">
        <is>
          <t>CVA</t>
        </is>
      </c>
      <c r="D68" s="15" t="inlineStr">
        <is>
          <t>1002-00009607</t>
        </is>
      </c>
      <c r="E68" s="16" t="inlineStr">
        <is>
          <t>LA PORFIA SOCIEDAD COLECTIVA (44673) - CAB. AP. 75 (PAR- INV-HEN) Alícuota: 1.50 s/ Bruto</t>
        </is>
      </c>
      <c r="F68" s="17" t="n"/>
      <c r="G68" s="17" t="n">
        <v>1117341</v>
      </c>
      <c r="H68" s="18">
        <f>H67+F68-G68</f>
        <v/>
      </c>
    </row>
    <row r="69">
      <c r="A69" s="14" t="n">
        <v>46268</v>
      </c>
      <c r="B69" s="14" t="n">
        <v>46234</v>
      </c>
      <c r="C69" s="15" t="inlineStr">
        <is>
          <t>CVA</t>
        </is>
      </c>
      <c r="D69" s="15" t="inlineStr">
        <is>
          <t>1002-00009628</t>
        </is>
      </c>
      <c r="E69" s="16" t="inlineStr">
        <is>
          <t>LA PORFIA SOCIEDAD COLECTIVA (44673) - CAB. AP. 130 (PAR- INV-HEN) Alícuota: 1.75 s/ Bruto</t>
        </is>
      </c>
      <c r="F69" s="17" t="n"/>
      <c r="G69" s="17" t="n">
        <v>2658437.25</v>
      </c>
      <c r="H69" s="18">
        <f>H68+F69-G69</f>
        <v/>
      </c>
    </row>
    <row r="70">
      <c r="A70" s="13" t="n">
        <v>46268</v>
      </c>
      <c r="B70" s="8" t="n">
        <v>46280</v>
      </c>
      <c r="C70" s="9" t="inlineStr">
        <is>
          <t>LCAP</t>
        </is>
      </c>
      <c r="D70" s="9" t="inlineStr">
        <is>
          <t>1002-00010538</t>
        </is>
      </c>
      <c r="E70" s="10" t="inlineStr">
        <is>
          <t>S. E. D. A. P. I .C. S.A. (48426) - CAB. AP. 43 (TV-INV-HEN) Alícuota: 1.25 s/ Bruto</t>
        </is>
      </c>
      <c r="F70" s="11" t="n"/>
      <c r="G70" s="11" t="n">
        <v>688797</v>
      </c>
      <c r="H70" s="12">
        <f>H69+F70-G70</f>
        <v/>
      </c>
    </row>
    <row r="71">
      <c r="A71" s="13" t="n">
        <v>46268</v>
      </c>
      <c r="B71" s="8" t="n">
        <v>46288</v>
      </c>
      <c r="C71" s="9" t="inlineStr">
        <is>
          <t>LCAP</t>
        </is>
      </c>
      <c r="D71" s="9" t="inlineStr">
        <is>
          <t>1080-00000238</t>
        </is>
      </c>
      <c r="E71" s="10" t="inlineStr">
        <is>
          <t>CAMPOCOL S.A (36535) - CAB. AP. 20 (FERIA-REP-CAB LA PELADA) Alícuota: 20.00 s/ Comis.Neta</t>
        </is>
      </c>
      <c r="F71" s="11" t="n"/>
      <c r="G71" s="11" t="n">
        <v>250000</v>
      </c>
      <c r="H71" s="12">
        <f>H70+F71-G71</f>
        <v/>
      </c>
    </row>
    <row r="72">
      <c r="A72" s="13" t="n">
        <v>46268</v>
      </c>
      <c r="B72" s="8" t="n">
        <v>46288</v>
      </c>
      <c r="C72" s="9" t="inlineStr">
        <is>
          <t>LCAP</t>
        </is>
      </c>
      <c r="D72" s="9" t="inlineStr">
        <is>
          <t>1080-00000239</t>
        </is>
      </c>
      <c r="E72" s="10" t="inlineStr">
        <is>
          <t>CAMPOCOL S.A (36535) - CAB. AP. 20 (FERIA-REP-CAB LA PELADA) Alícuota: 20.00 s/ Comis.Neta</t>
        </is>
      </c>
      <c r="F72" s="11" t="n"/>
      <c r="G72" s="11" t="n">
        <v>240000</v>
      </c>
      <c r="H72" s="12">
        <f>H71+F72-G72</f>
        <v/>
      </c>
    </row>
    <row r="73">
      <c r="A73" s="13" t="n">
        <v>46268</v>
      </c>
      <c r="B73" s="8" t="n">
        <v>46288</v>
      </c>
      <c r="C73" s="9" t="inlineStr">
        <is>
          <t>LCAP</t>
        </is>
      </c>
      <c r="D73" s="9" t="inlineStr">
        <is>
          <t>1080-00000248</t>
        </is>
      </c>
      <c r="E73" s="10" t="inlineStr">
        <is>
          <t>LA ENTECADA S.A. (41867) - CAB. AP. 1 (FERIA-REP-CAB LA PELADA) Alícuota: 20.00 s/ Comis.Neta</t>
        </is>
      </c>
      <c r="F73" s="11" t="n"/>
      <c r="G73" s="11" t="n">
        <v>98400</v>
      </c>
      <c r="H73" s="12">
        <f>H72+F73-G73</f>
        <v/>
      </c>
    </row>
    <row r="74">
      <c r="A74" s="13" t="n">
        <v>46268</v>
      </c>
      <c r="B74" s="8" t="n">
        <v>46288</v>
      </c>
      <c r="C74" s="9" t="inlineStr">
        <is>
          <t>LCAP</t>
        </is>
      </c>
      <c r="D74" s="9" t="inlineStr">
        <is>
          <t>1080-00000249</t>
        </is>
      </c>
      <c r="E74" s="10" t="inlineStr">
        <is>
          <t>MICHELONI, LUIS ALBERTO (43184) - CAB. AP. 2 (FERIA-REP- CAB LA PELADA) Alícuota: 20.00 s/ Comis.Neta</t>
        </is>
      </c>
      <c r="F74" s="11" t="n"/>
      <c r="G74" s="11" t="n">
        <v>127200</v>
      </c>
      <c r="H74" s="12">
        <f>H73+F74-G74</f>
        <v/>
      </c>
    </row>
    <row r="75">
      <c r="A75" s="13" t="n">
        <v>46268</v>
      </c>
      <c r="B75" s="8" t="n">
        <v>46288</v>
      </c>
      <c r="C75" s="9" t="inlineStr">
        <is>
          <t>LCAP</t>
        </is>
      </c>
      <c r="D75" s="9" t="inlineStr">
        <is>
          <t>1080-00000255</t>
        </is>
      </c>
      <c r="E75" s="10" t="inlineStr">
        <is>
          <t>FRIGORIFICO ANGELANI S.A. (46603) - CAB. AP. 22 (FERIA-REP- CAB LA PELADA) Alícuota: 20.00 s/ Comis.Neta</t>
        </is>
      </c>
      <c r="F75" s="11" t="n"/>
      <c r="G75" s="11" t="n">
        <v>237600</v>
      </c>
      <c r="H75" s="12">
        <f>H74+F75-G75</f>
        <v/>
      </c>
    </row>
    <row r="76">
      <c r="A76" s="13" t="n">
        <v>46268</v>
      </c>
      <c r="B76" s="8" t="n">
        <v>46288</v>
      </c>
      <c r="C76" s="9" t="inlineStr">
        <is>
          <t>LCAP</t>
        </is>
      </c>
      <c r="D76" s="9" t="inlineStr">
        <is>
          <t>1080-00000256</t>
        </is>
      </c>
      <c r="E76" s="10" t="inlineStr">
        <is>
          <t>FRIGORIFICO ANGELANI S.A. (46603) - CAB. AP. 22 (FERIA-REP- CAB LA PELADA) Alícuota: 20.00 s/ Comis.Neta</t>
        </is>
      </c>
      <c r="F76" s="11" t="n"/>
      <c r="G76" s="11" t="n">
        <v>202400</v>
      </c>
      <c r="H76" s="12">
        <f>H75+F76-G76</f>
        <v/>
      </c>
    </row>
    <row r="77">
      <c r="A77" s="13" t="n">
        <v>46268</v>
      </c>
      <c r="B77" s="8" t="n">
        <v>46288</v>
      </c>
      <c r="C77" s="9" t="inlineStr">
        <is>
          <t>LCAP</t>
        </is>
      </c>
      <c r="D77" s="9" t="inlineStr">
        <is>
          <t>1080-00000267</t>
        </is>
      </c>
      <c r="E77" s="10" t="inlineStr">
        <is>
          <t>ARROUPE, JOSE MARIA (49306) - CAB. AP. 1 (FERIA-REP-CAB LA PELADA) Alícuota: 20.00 s/ Comis.Neta</t>
        </is>
      </c>
      <c r="F77" s="11" t="n"/>
      <c r="G77" s="11" t="n">
        <v>98400</v>
      </c>
      <c r="H77" s="12">
        <f>H76+F77-G77</f>
        <v/>
      </c>
    </row>
    <row r="78">
      <c r="A78" s="13" t="n">
        <v>46268</v>
      </c>
      <c r="B78" s="8" t="n">
        <v>46288</v>
      </c>
      <c r="C78" s="9" t="inlineStr">
        <is>
          <t>LCAP</t>
        </is>
      </c>
      <c r="D78" s="9" t="inlineStr">
        <is>
          <t>1080-00000271</t>
        </is>
      </c>
      <c r="E78" s="10" t="inlineStr">
        <is>
          <t>DON NAZARENO S A (52245) - CAB. AP. 2 (FERIA-REP-CAB LA PELADA) Alícuota: 20.00 s/ Comis.Neta</t>
        </is>
      </c>
      <c r="F78" s="11" t="n"/>
      <c r="G78" s="11" t="n">
        <v>172000</v>
      </c>
      <c r="H78" s="12">
        <f>H77+F78-G78</f>
        <v/>
      </c>
    </row>
    <row r="79">
      <c r="A79" s="13" t="n">
        <v>46268</v>
      </c>
      <c r="B79" s="8" t="n">
        <v>46288</v>
      </c>
      <c r="C79" s="9" t="inlineStr">
        <is>
          <t>LCAP</t>
        </is>
      </c>
      <c r="D79" s="9" t="inlineStr">
        <is>
          <t>1080-00000272</t>
        </is>
      </c>
      <c r="E79" s="10" t="inlineStr">
        <is>
          <t>DON NAZARENO S A (52245) - CAB. AP. 11 (FERIA-REP-CAB LA PELADA) Alícuota: 20.00 s/ Comis.Neta</t>
        </is>
      </c>
      <c r="F79" s="11" t="n"/>
      <c r="G79" s="11" t="n">
        <v>312400</v>
      </c>
      <c r="H79" s="12">
        <f>H78+F79-G79</f>
        <v/>
      </c>
    </row>
    <row r="80">
      <c r="A80" s="13" t="n">
        <v>46268</v>
      </c>
      <c r="B80" s="8" t="n">
        <v>46288</v>
      </c>
      <c r="C80" s="9" t="inlineStr">
        <is>
          <t>LCAP</t>
        </is>
      </c>
      <c r="D80" s="9" t="inlineStr">
        <is>
          <t>1080-00000275</t>
        </is>
      </c>
      <c r="E80" s="10" t="inlineStr">
        <is>
          <t>CID, MARIANO ALEJANDRO (80196) - CAB. AP. 22 (FERIA-REP- CAB LA PELADA) Alícuota: 20.00 s/ Comis.Neta</t>
        </is>
      </c>
      <c r="F80" s="11" t="n"/>
      <c r="G80" s="11" t="n">
        <v>686400</v>
      </c>
      <c r="H80" s="12">
        <f>H79+F80-G80</f>
        <v/>
      </c>
    </row>
    <row r="81">
      <c r="A81" s="13" t="n">
        <v>46268</v>
      </c>
      <c r="B81" s="8" t="n">
        <v>46288</v>
      </c>
      <c r="C81" s="9" t="inlineStr">
        <is>
          <t>LCAP</t>
        </is>
      </c>
      <c r="D81" s="9" t="inlineStr">
        <is>
          <t>1080-00000276</t>
        </is>
      </c>
      <c r="E81" s="10" t="inlineStr">
        <is>
          <t>OCHOA HNOS S A A G C I E I (80197) - CAB. AP. 1 (FERIA-REP- CAB LA PELADA) Alícuota: 20.00 s/ Comis.Neta</t>
        </is>
      </c>
      <c r="F81" s="11" t="n"/>
      <c r="G81" s="11" t="n">
        <v>120000</v>
      </c>
      <c r="H81" s="12">
        <f>H80+F81-G81</f>
        <v/>
      </c>
    </row>
    <row r="82">
      <c r="A82" s="13" t="n">
        <v>46268</v>
      </c>
      <c r="B82" s="8" t="n">
        <v>46288</v>
      </c>
      <c r="C82" s="9" t="inlineStr">
        <is>
          <t>LCAP</t>
        </is>
      </c>
      <c r="D82" s="9" t="inlineStr">
        <is>
          <t>1080-00000277</t>
        </is>
      </c>
      <c r="E82" s="10" t="inlineStr">
        <is>
          <t>OCHOA HNOS S A A G C I E I (80197) - CAB. AP. 1 (FERIA-REP- CAB LA PELADA) Alícuota: 20.00 s/ Comis.Neta</t>
        </is>
      </c>
      <c r="F82" s="11" t="n"/>
      <c r="G82" s="11" t="n">
        <v>134400</v>
      </c>
      <c r="H82" s="12">
        <f>H81+F82-G82</f>
        <v/>
      </c>
    </row>
    <row r="83">
      <c r="A83" s="14" t="n">
        <v>46269</v>
      </c>
      <c r="B83" s="14" t="n">
        <v>46258</v>
      </c>
      <c r="C83" s="15" t="inlineStr">
        <is>
          <t>LCAP</t>
        </is>
      </c>
      <c r="D83" s="15" t="inlineStr">
        <is>
          <t>1006-00006269</t>
        </is>
      </c>
      <c r="E83" s="16" t="inlineStr">
        <is>
          <t>ESTANCIA LA ALBORADA S.R.L. (80058) - CAB. AP. 3 (FERIA-REP- CHA) Alícuota: 2.00 s/ Bruto</t>
        </is>
      </c>
      <c r="F83" s="17" t="n"/>
      <c r="G83" s="17" t="n">
        <v>476000</v>
      </c>
      <c r="H83" s="18">
        <f>H82+F83-G83</f>
        <v/>
      </c>
    </row>
    <row r="84">
      <c r="A84" s="13" t="n">
        <v>46269</v>
      </c>
      <c r="B84" s="8" t="n">
        <v>46258</v>
      </c>
      <c r="C84" s="9" t="inlineStr">
        <is>
          <t>LCAP</t>
        </is>
      </c>
      <c r="D84" s="9" t="inlineStr">
        <is>
          <t>1006-00006270</t>
        </is>
      </c>
      <c r="E84" s="10" t="inlineStr">
        <is>
          <t>ESTANCIA LA ALBORADA S.R.L. (80058) - CAB. AP. 1 (FERIA-REP- CHA) Alícuota: 2.00 s/ Bruto</t>
        </is>
      </c>
      <c r="F84" s="11" t="n"/>
      <c r="G84" s="11" t="n">
        <v>170000</v>
      </c>
      <c r="H84" s="12">
        <f>H83+F84-G84</f>
        <v/>
      </c>
    </row>
    <row r="85">
      <c r="A85" s="14" t="n">
        <v>46271</v>
      </c>
      <c r="B85" s="14" t="n">
        <v>46253</v>
      </c>
      <c r="C85" s="15" t="inlineStr">
        <is>
          <t>LCAP</t>
        </is>
      </c>
      <c r="D85" s="15" t="inlineStr">
        <is>
          <t>1019-00004620</t>
        </is>
      </c>
      <c r="E85" s="16" t="inlineStr">
        <is>
          <t>HIRIART, WILFREDO DANIEL (47832) - CAB. AP. 10 (FERIA-REP- MAI) Alícuota: 2.00 s/ Bruto</t>
        </is>
      </c>
      <c r="F85" s="17" t="n"/>
      <c r="G85" s="17" t="n">
        <v>690000</v>
      </c>
      <c r="H85" s="18">
        <f>H84+F85-G85</f>
        <v/>
      </c>
    </row>
    <row r="86">
      <c r="A86" s="14" t="n">
        <v>46276</v>
      </c>
      <c r="B86" s="14" t="n">
        <v>46276</v>
      </c>
      <c r="C86" s="15" t="inlineStr">
        <is>
          <t>NOO</t>
        </is>
      </c>
      <c r="D86" s="15" t="inlineStr">
        <is>
          <t>000037174-000</t>
        </is>
      </c>
      <c r="E86" s="16" t="inlineStr">
        <is>
          <t>F12836 AJUSTE KILOS OPERACION A TERMINO GALDOS-TERRA</t>
        </is>
      </c>
      <c r="F86" s="17" t="n"/>
      <c r="G86" s="17" t="n">
        <v>53392.5</v>
      </c>
      <c r="H86" s="18">
        <f>H85+F86-G86</f>
        <v/>
      </c>
    </row>
    <row r="87">
      <c r="A87" s="13" t="n">
        <v>46276</v>
      </c>
      <c r="B87" s="8" t="n">
        <v>46276</v>
      </c>
      <c r="C87" s="9" t="inlineStr">
        <is>
          <t>NOO</t>
        </is>
      </c>
      <c r="D87" s="9" t="inlineStr">
        <is>
          <t>000037176-000</t>
        </is>
      </c>
      <c r="E87" s="10" t="inlineStr">
        <is>
          <t>F12836 AJUSTE KILOS OPERACION A TERMINO GALDOS-TERRA GARBA</t>
        </is>
      </c>
      <c r="F87" s="11" t="n"/>
      <c r="G87" s="11" t="n">
        <v>53392.5</v>
      </c>
      <c r="H87" s="12">
        <f>H86+F87-G87</f>
        <v/>
      </c>
    </row>
    <row r="88">
      <c r="A88" s="14" t="n">
        <v>46277</v>
      </c>
      <c r="B88" s="14" t="n">
        <v>46280</v>
      </c>
      <c r="C88" s="15" t="inlineStr">
        <is>
          <t>LCAP</t>
        </is>
      </c>
      <c r="D88" s="15" t="inlineStr">
        <is>
          <t>1006-00006289</t>
        </is>
      </c>
      <c r="E88" s="16" t="inlineStr">
        <is>
          <t>S. E. D. A. P. I .C. S.A. (48426) - CAB. AP. 19 (FERIA-INV-CHA) Alícuota: 2.00 s/ Bruto</t>
        </is>
      </c>
      <c r="F88" s="17" t="n"/>
      <c r="G88" s="17" t="n">
        <v>421728</v>
      </c>
      <c r="H88" s="18">
        <f>H87+F88-G88</f>
        <v/>
      </c>
    </row>
    <row r="89">
      <c r="A89" s="13" t="n">
        <v>46277</v>
      </c>
      <c r="B89" s="8" t="n">
        <v>46280</v>
      </c>
      <c r="C89" s="9" t="inlineStr">
        <is>
          <t>LCAP</t>
        </is>
      </c>
      <c r="D89" s="9" t="inlineStr">
        <is>
          <t>1006-00006290</t>
        </is>
      </c>
      <c r="E89" s="10" t="inlineStr">
        <is>
          <t>S. E. D. A. P. I .C. S.A. (48426) - CAB. AP. 75 (FERIA-INV-CHA) Alícuota: 2.00 s/ Bruto</t>
        </is>
      </c>
      <c r="F89" s="11" t="n"/>
      <c r="G89" s="11" t="n">
        <v>1827549</v>
      </c>
      <c r="H89" s="12">
        <f>H88+F89-G89</f>
        <v/>
      </c>
    </row>
    <row r="90">
      <c r="A90" s="13" t="n">
        <v>46277</v>
      </c>
      <c r="B90" s="8" t="n">
        <v>46281</v>
      </c>
      <c r="C90" s="9" t="inlineStr">
        <is>
          <t>LCAP</t>
        </is>
      </c>
      <c r="D90" s="9" t="inlineStr">
        <is>
          <t>1006-00006291</t>
        </is>
      </c>
      <c r="E90" s="10" t="inlineStr">
        <is>
          <t>S. E. D. A. P. I .C. S.A. (48426) - CAB. AP. 30 (FERIA-INV-CHA) Alícuota: 2.00 s/ Bruto</t>
        </is>
      </c>
      <c r="F90" s="11" t="n"/>
      <c r="G90" s="11" t="n">
        <v>702240</v>
      </c>
      <c r="H90" s="12">
        <f>H89+F90-G90</f>
        <v/>
      </c>
    </row>
    <row r="91">
      <c r="A91" s="13" t="n">
        <v>46277</v>
      </c>
      <c r="B91" s="8" t="n">
        <v>46287</v>
      </c>
      <c r="C91" s="9" t="inlineStr">
        <is>
          <t>LCAP</t>
        </is>
      </c>
      <c r="D91" s="9" t="inlineStr">
        <is>
          <t>1006-00006321</t>
        </is>
      </c>
      <c r="E91" s="10" t="inlineStr">
        <is>
          <t>S. E. D. A. P. I .C. S.A. (48426) - CAB. AP. 75 (FERIA-INV-CHA) Alícuota: 2.00 s/ Bruto</t>
        </is>
      </c>
      <c r="F91" s="11" t="n"/>
      <c r="G91" s="11" t="n">
        <v>1827549</v>
      </c>
      <c r="H91" s="12">
        <f>H90+F91-G91</f>
        <v/>
      </c>
    </row>
    <row r="92">
      <c r="A92" s="13" t="n">
        <v>46277</v>
      </c>
      <c r="B92" s="8" t="n">
        <v>46288</v>
      </c>
      <c r="C92" s="9" t="inlineStr">
        <is>
          <t>CVA</t>
        </is>
      </c>
      <c r="D92" s="9" t="inlineStr">
        <is>
          <t>1080-00000295</t>
        </is>
      </c>
      <c r="E92" s="10" t="inlineStr">
        <is>
          <t>TERRA GARBA S.A.C.A.I.Y F. (22306) - CAB. AP. 20 (FERIA-REP-CAB LA PELADA) Alícuota: 20.00 s/ Comis.Neta</t>
        </is>
      </c>
      <c r="F92" s="11" t="n"/>
      <c r="G92" s="11" t="n">
        <v>300000</v>
      </c>
      <c r="H92" s="12">
        <f>H91+F92-G92</f>
        <v/>
      </c>
    </row>
    <row r="93">
      <c r="A93" s="13" t="n">
        <v>46277</v>
      </c>
      <c r="B93" s="8" t="n">
        <v>46288</v>
      </c>
      <c r="C93" s="9" t="inlineStr">
        <is>
          <t>CVA</t>
        </is>
      </c>
      <c r="D93" s="9" t="inlineStr">
        <is>
          <t>1080-00000296</t>
        </is>
      </c>
      <c r="E93" s="10" t="inlineStr">
        <is>
          <t>TERRA GARBA S.A.C.A.I.Y F. (22306) - CAB. AP. 2 (FERIA-REP-CAB LA PELADA) Alícuota: 20.00 s/ Comis.Neta</t>
        </is>
      </c>
      <c r="F93" s="11" t="n"/>
      <c r="G93" s="11" t="n">
        <v>95400</v>
      </c>
      <c r="H93" s="12">
        <f>H92+F93-G93</f>
        <v/>
      </c>
    </row>
    <row r="94">
      <c r="A94" s="13" t="n">
        <v>46277</v>
      </c>
      <c r="B94" s="8" t="n">
        <v>46288</v>
      </c>
      <c r="C94" s="9" t="inlineStr">
        <is>
          <t>CVA</t>
        </is>
      </c>
      <c r="D94" s="9" t="inlineStr">
        <is>
          <t>1080-00000297</t>
        </is>
      </c>
      <c r="E94" s="10" t="inlineStr">
        <is>
          <t>TERRA GARBA S.A.C.A.I.Y F. (22306) - CAB. AP. 20 (FERIA-REP-CAB LA PELADA) Alícuota: 20.00 s/ Comis.Neta</t>
        </is>
      </c>
      <c r="F94" s="11" t="n"/>
      <c r="G94" s="11" t="n">
        <v>288000</v>
      </c>
      <c r="H94" s="12">
        <f>H93+F94-G94</f>
        <v/>
      </c>
    </row>
    <row r="95">
      <c r="A95" s="13" t="n">
        <v>46277</v>
      </c>
      <c r="B95" s="8" t="n">
        <v>46288</v>
      </c>
      <c r="C95" s="9" t="inlineStr">
        <is>
          <t>CVA</t>
        </is>
      </c>
      <c r="D95" s="9" t="inlineStr">
        <is>
          <t>1080-00000298</t>
        </is>
      </c>
      <c r="E95" s="10" t="inlineStr">
        <is>
          <t>TERRA GARBA S.A.C.A.I.Y F. (22306) - CAB. AP. 22 (FERIA-REP-CAB LA PELADA) Alícuota: 20.00 s/ Comis.Neta</t>
        </is>
      </c>
      <c r="F95" s="11" t="n"/>
      <c r="G95" s="11" t="n">
        <v>343200</v>
      </c>
      <c r="H95" s="12">
        <f>H94+F95-G95</f>
        <v/>
      </c>
    </row>
    <row r="96">
      <c r="A96" s="13" t="n">
        <v>46277</v>
      </c>
      <c r="B96" s="8" t="n">
        <v>46288</v>
      </c>
      <c r="C96" s="9" t="inlineStr">
        <is>
          <t>CVA</t>
        </is>
      </c>
      <c r="D96" s="9" t="inlineStr">
        <is>
          <t>1080-00000299</t>
        </is>
      </c>
      <c r="E96" s="10" t="inlineStr">
        <is>
          <t>TERRA GARBA S.A.C.A.I.Y F. (22306) - CAB. AP. 2 (FERIA-REP-CAB LA PELADA) Alícuota: 20.00 s/ Comis.Neta</t>
        </is>
      </c>
      <c r="F96" s="11" t="n"/>
      <c r="G96" s="11" t="n">
        <v>129000</v>
      </c>
      <c r="H96" s="12">
        <f>H95+F96-G96</f>
        <v/>
      </c>
    </row>
    <row r="97">
      <c r="A97" s="13" t="n">
        <v>46277</v>
      </c>
      <c r="B97" s="8" t="n">
        <v>46288</v>
      </c>
      <c r="C97" s="9" t="inlineStr">
        <is>
          <t>CVA</t>
        </is>
      </c>
      <c r="D97" s="9" t="inlineStr">
        <is>
          <t>1080-00000300</t>
        </is>
      </c>
      <c r="E97" s="10" t="inlineStr">
        <is>
          <t>TERRA GARBA S.A.C.A.I.Y F. (22306) - CAB. AP. 11 (FERIA-REP-CAB LA PELADA) Alícuota: 20.00 s/ Comis.Neta</t>
        </is>
      </c>
      <c r="F97" s="11" t="n"/>
      <c r="G97" s="11" t="n">
        <v>234300</v>
      </c>
      <c r="H97" s="12">
        <f>H96+F97-G97</f>
        <v/>
      </c>
    </row>
    <row r="98">
      <c r="A98" s="13" t="n">
        <v>46277</v>
      </c>
      <c r="B98" s="8" t="n">
        <v>46288</v>
      </c>
      <c r="C98" s="9" t="inlineStr">
        <is>
          <t>CVA</t>
        </is>
      </c>
      <c r="D98" s="9" t="inlineStr">
        <is>
          <t>1080-00000301</t>
        </is>
      </c>
      <c r="E98" s="10" t="inlineStr">
        <is>
          <t>TERRA GARBA S.A.C.A.I.Y F. (22306) - CAB. AP. 22 (FERIA-REP-CAB LA PELADA) Alícuota: 20.00 s/ Comis.Neta</t>
        </is>
      </c>
      <c r="F98" s="11" t="n"/>
      <c r="G98" s="11" t="n">
        <v>356400</v>
      </c>
      <c r="H98" s="12">
        <f>H97+F98-G98</f>
        <v/>
      </c>
    </row>
    <row r="99">
      <c r="A99" s="13" t="n">
        <v>46277</v>
      </c>
      <c r="B99" s="8" t="n">
        <v>46288</v>
      </c>
      <c r="C99" s="9" t="inlineStr">
        <is>
          <t>CVA</t>
        </is>
      </c>
      <c r="D99" s="9" t="inlineStr">
        <is>
          <t>1080-00000302</t>
        </is>
      </c>
      <c r="E99" s="10" t="inlineStr">
        <is>
          <t>TERRA GARBA S.A.C.A.I.Y F. (22306) - CAB. AP. 1 (FERIA-REP-CAB LA PELADA) Alícuota: 20.00 s/ Comis.Neta</t>
        </is>
      </c>
      <c r="F99" s="11" t="n"/>
      <c r="G99" s="11" t="n">
        <v>60000</v>
      </c>
      <c r="H99" s="12">
        <f>H98+F99-G99</f>
        <v/>
      </c>
    </row>
    <row r="100">
      <c r="A100" s="13" t="n">
        <v>46277</v>
      </c>
      <c r="B100" s="8" t="n">
        <v>46288</v>
      </c>
      <c r="C100" s="9" t="inlineStr">
        <is>
          <t>CVA</t>
        </is>
      </c>
      <c r="D100" s="9" t="inlineStr">
        <is>
          <t>1080-00000303</t>
        </is>
      </c>
      <c r="E100" s="10" t="inlineStr">
        <is>
          <t>TERRA GARBA S.A.C.A.I.Y F. (22306) - CAB. AP. 1 (FERIA-REP-CAB LA PELADA) Alícuota: 20.00 s/ Comis.Neta</t>
        </is>
      </c>
      <c r="F100" s="11" t="n"/>
      <c r="G100" s="11" t="n">
        <v>49200</v>
      </c>
      <c r="H100" s="12">
        <f>H99+F100-G100</f>
        <v/>
      </c>
    </row>
    <row r="101">
      <c r="A101" s="13" t="n">
        <v>46277</v>
      </c>
      <c r="B101" s="8" t="n">
        <v>46288</v>
      </c>
      <c r="C101" s="9" t="inlineStr">
        <is>
          <t>CVA</t>
        </is>
      </c>
      <c r="D101" s="9" t="inlineStr">
        <is>
          <t>1080-00000304</t>
        </is>
      </c>
      <c r="E101" s="10" t="inlineStr">
        <is>
          <t>TERRA GARBA S.A.C.A.I.Y F. (22306) - CAB. AP. 22 (FERIA-REP-CAB LA PELADA) Alícuota: 20.00 s/ Comis.Neta</t>
        </is>
      </c>
      <c r="F101" s="11" t="n"/>
      <c r="G101" s="11" t="n">
        <v>303600</v>
      </c>
      <c r="H101" s="12">
        <f>H100+F101-G101</f>
        <v/>
      </c>
    </row>
    <row r="102">
      <c r="A102" s="13" t="n">
        <v>46277</v>
      </c>
      <c r="B102" s="8" t="n">
        <v>46288</v>
      </c>
      <c r="C102" s="9" t="inlineStr">
        <is>
          <t>CVA</t>
        </is>
      </c>
      <c r="D102" s="9" t="inlineStr">
        <is>
          <t>1080-00000305</t>
        </is>
      </c>
      <c r="E102" s="10" t="inlineStr">
        <is>
          <t>TERRA GARBA S.A.C.A.I.Y F. (22306) - CAB. AP. 1 (FERIA-REP-CAB LA PELADA) Alícuota: 20.00 s/ Comis.Neta</t>
        </is>
      </c>
      <c r="F102" s="11" t="n"/>
      <c r="G102" s="11" t="n">
        <v>67200</v>
      </c>
      <c r="H102" s="12">
        <f>H101+F102-G102</f>
        <v/>
      </c>
    </row>
    <row r="103">
      <c r="A103" s="13" t="n">
        <v>46277</v>
      </c>
      <c r="B103" s="8" t="n">
        <v>46288</v>
      </c>
      <c r="C103" s="9" t="inlineStr">
        <is>
          <t>CVA</t>
        </is>
      </c>
      <c r="D103" s="9" t="inlineStr">
        <is>
          <t>1080-00000306</t>
        </is>
      </c>
      <c r="E103" s="10" t="inlineStr">
        <is>
          <t>TERRA GARBA S.A.C.A.I.Y F. (22306) - CAB. AP. 1 (FERIA-REP-CAB LA PELADA) Alícuota: 20.00 s/ Comis.Neta</t>
        </is>
      </c>
      <c r="F103" s="11" t="n"/>
      <c r="G103" s="11" t="n">
        <v>49200</v>
      </c>
      <c r="H103" s="12">
        <f>H102+F103-G103</f>
        <v/>
      </c>
    </row>
    <row r="104">
      <c r="A104" s="14" t="n">
        <v>46283</v>
      </c>
      <c r="B104" s="14" t="n">
        <v>46260</v>
      </c>
      <c r="C104" s="15" t="inlineStr">
        <is>
          <t>CVA</t>
        </is>
      </c>
      <c r="D104" s="15" t="inlineStr">
        <is>
          <t>1002-00009807</t>
        </is>
      </c>
      <c r="E104" s="16" t="inlineStr">
        <is>
          <t>AGROPECUARIA LA LIBERTAD S.R.L. (44699) - CAB. AP. 43 (PAR- INV-HEN) Alícuota: 1.76 s/ Bruto</t>
        </is>
      </c>
      <c r="F104" s="17" t="n"/>
      <c r="G104" s="17" t="n">
        <v>1229325.49</v>
      </c>
      <c r="H104" s="18">
        <f>H103+F104-G104</f>
        <v/>
      </c>
    </row>
    <row r="105">
      <c r="A105" s="13" t="n">
        <v>46283</v>
      </c>
      <c r="B105" s="8" t="n">
        <v>46288</v>
      </c>
      <c r="C105" s="9" t="inlineStr">
        <is>
          <t>LCAP</t>
        </is>
      </c>
      <c r="D105" s="9" t="inlineStr">
        <is>
          <t>1002-00010577</t>
        </is>
      </c>
      <c r="E105" s="10" t="inlineStr">
        <is>
          <t>S. E. D. A. P. I .C. S.A. (48426) - CAB. AP. 20 (PAR-INV-HEN) Alícuota: 1.50 s/ Bruto</t>
        </is>
      </c>
      <c r="F105" s="11" t="n"/>
      <c r="G105" s="11" t="n">
        <v>359424</v>
      </c>
      <c r="H105" s="12">
        <f>H104+F105-G105</f>
        <v/>
      </c>
    </row>
    <row r="106">
      <c r="A106" s="14" t="n">
        <v>46287</v>
      </c>
      <c r="B106" s="14" t="n">
        <v>46275</v>
      </c>
      <c r="C106" s="15" t="inlineStr">
        <is>
          <t>CVA</t>
        </is>
      </c>
      <c r="D106" s="15" t="inlineStr">
        <is>
          <t>1002-00010082</t>
        </is>
      </c>
      <c r="E106" s="16" t="inlineStr">
        <is>
          <t>SGRO, ANA MARIA (44601) - CAB. AP. 5 (PAR-FAE-HEN) Alícuota:</t>
        </is>
      </c>
      <c r="F106" s="17" t="n"/>
      <c r="G106" s="17" t="n">
        <v>164374.98</v>
      </c>
      <c r="H106" s="18">
        <f>H105+F106-G106</f>
        <v/>
      </c>
    </row>
    <row r="107">
      <c r="A107" s="13" t="n">
        <v>46287</v>
      </c>
      <c r="B107" s="8" t="n">
        <v>46287</v>
      </c>
      <c r="C107" s="9" t="inlineStr">
        <is>
          <t>ALC</t>
        </is>
      </c>
      <c r="D107" s="9" t="inlineStr">
        <is>
          <t>1006-00006320</t>
        </is>
      </c>
      <c r="E107" s="10" t="inlineStr">
        <is>
          <t>S. E. D. A. P. I .C. S.A. (48426) - CAB. AP. 75 (FERIA-INV-CHA) Alícuota: 2.00 s/ Bruto</t>
        </is>
      </c>
      <c r="F107" s="11" t="n">
        <v>1827549</v>
      </c>
      <c r="G107" s="11" t="n"/>
      <c r="H107" s="12">
        <f>H106+F107-G107</f>
        <v/>
      </c>
    </row>
    <row r="108">
      <c r="A108" s="14" t="n">
        <v>46288</v>
      </c>
      <c r="B108" s="14" t="n">
        <v>46288</v>
      </c>
      <c r="C108" s="15" t="inlineStr">
        <is>
          <t>ACV</t>
        </is>
      </c>
      <c r="D108" s="15" t="inlineStr">
        <is>
          <t>1080-00000367</t>
        </is>
      </c>
      <c r="E108" s="16" t="inlineStr">
        <is>
          <t>TERRA GARBA S.A.C.A.I.Y F. (22306) - CAB. AP. 20 (FERIA-REP-CAB LA PELADA) Alícuota: 20.00 s/ Comis.Neta</t>
        </is>
      </c>
      <c r="F108" s="17" t="n">
        <v>300000</v>
      </c>
      <c r="G108" s="17" t="n"/>
      <c r="H108" s="18">
        <f>H107+F108-G108</f>
        <v/>
      </c>
    </row>
    <row r="109">
      <c r="A109" s="13" t="n">
        <v>46288</v>
      </c>
      <c r="B109" s="8" t="n">
        <v>46288</v>
      </c>
      <c r="C109" s="9" t="inlineStr">
        <is>
          <t>ACV</t>
        </is>
      </c>
      <c r="D109" s="9" t="inlineStr">
        <is>
          <t>1080-00000369</t>
        </is>
      </c>
      <c r="E109" s="10" t="inlineStr">
        <is>
          <t>TERRA GARBA S.A.C.A.I.Y F. (22306) - CAB. AP. 20 (FERIA-REP-CAB LA PELADA) Alícuota: 20.00 s/ Comis.Neta</t>
        </is>
      </c>
      <c r="F109" s="11" t="n">
        <v>288000</v>
      </c>
      <c r="G109" s="11" t="n"/>
      <c r="H109" s="12">
        <f>H108+F109-G109</f>
        <v/>
      </c>
    </row>
    <row r="110">
      <c r="A110" s="13" t="n">
        <v>46288</v>
      </c>
      <c r="B110" s="8" t="n">
        <v>46288</v>
      </c>
      <c r="C110" s="9" t="inlineStr">
        <is>
          <t>ALC</t>
        </is>
      </c>
      <c r="D110" s="9" t="inlineStr">
        <is>
          <t>1080-00000290</t>
        </is>
      </c>
      <c r="E110" s="10" t="inlineStr">
        <is>
          <t>CAMPOCOL S.A (36535) - CAB. AP. 20 (FERIA-REP-CAB LA PELADA) Alícuota: 20.00 s/ Comis.Neta</t>
        </is>
      </c>
      <c r="F110" s="11" t="n">
        <v>250000</v>
      </c>
      <c r="G110" s="11" t="n"/>
      <c r="H110" s="12">
        <f>H109+F110-G110</f>
        <v/>
      </c>
    </row>
    <row r="111">
      <c r="A111" s="13" t="n">
        <v>46288</v>
      </c>
      <c r="B111" s="8" t="n">
        <v>46288</v>
      </c>
      <c r="C111" s="9" t="inlineStr">
        <is>
          <t>ALC</t>
        </is>
      </c>
      <c r="D111" s="9" t="inlineStr">
        <is>
          <t>1080-00000292</t>
        </is>
      </c>
      <c r="E111" s="10" t="inlineStr">
        <is>
          <t>CAMPOCOL S.A (36535) - CAB. AP. 20 (FERIA-REP-CAB LA PELADA) Alícuota: 20.00 s/ Comis.Neta</t>
        </is>
      </c>
      <c r="F111" s="11" t="n">
        <v>240000</v>
      </c>
      <c r="G111" s="11" t="n"/>
      <c r="H111" s="12">
        <f>H110+F111-G111</f>
        <v/>
      </c>
    </row>
    <row r="112">
      <c r="A112" s="14" t="n">
        <v>46290</v>
      </c>
      <c r="B112" s="14" t="n">
        <v>46258</v>
      </c>
      <c r="C112" s="15" t="inlineStr">
        <is>
          <t>CVA</t>
        </is>
      </c>
      <c r="D112" s="15" t="inlineStr">
        <is>
          <t>1002-00009799</t>
        </is>
      </c>
      <c r="E112" s="16" t="inlineStr">
        <is>
          <t>AGROPECUARIA LA LIBERTAD S.R.L. (44699) - CAB. AP. 40 (PAR- INV-HEN) Alícuota: 1.76 s/ Bruto</t>
        </is>
      </c>
      <c r="F112" s="17" t="n"/>
      <c r="G112" s="17" t="n">
        <v>1136220.8</v>
      </c>
      <c r="H112" s="18">
        <f>H111+F112-G112</f>
        <v/>
      </c>
    </row>
    <row r="113">
      <c r="A113" s="13" t="n">
        <v>46290</v>
      </c>
      <c r="B113" s="8" t="n">
        <v>46260</v>
      </c>
      <c r="C113" s="9" t="inlineStr">
        <is>
          <t>CVA</t>
        </is>
      </c>
      <c r="D113" s="9" t="inlineStr">
        <is>
          <t>1048-00029791</t>
        </is>
      </c>
      <c r="E113" s="10" t="inlineStr">
        <is>
          <t>DOÑA JULIA S.A. (43342) - CAB. AP. 12 (MER-FAE-MER) Alícuota: 0.95 s/ Bruto</t>
        </is>
      </c>
      <c r="F113" s="11" t="n"/>
      <c r="G113" s="11" t="n">
        <v>165338</v>
      </c>
      <c r="H113" s="12">
        <f>H112+F113-G113</f>
        <v/>
      </c>
    </row>
    <row r="114">
      <c r="A114" s="13" t="n">
        <v>46290</v>
      </c>
      <c r="B114" s="8" t="n">
        <v>46260</v>
      </c>
      <c r="C114" s="9" t="inlineStr">
        <is>
          <t>CVA</t>
        </is>
      </c>
      <c r="D114" s="9" t="inlineStr">
        <is>
          <t>1048-00029792</t>
        </is>
      </c>
      <c r="E114" s="10" t="inlineStr">
        <is>
          <t>LOS ELU S.R.L. (35014) - CAB. AP. 4 (MER-FAE-MER) Alícuota: 1.50 s/ Bruto</t>
        </is>
      </c>
      <c r="F114" s="11" t="n"/>
      <c r="G114" s="11" t="n">
        <v>85512</v>
      </c>
      <c r="H114" s="12">
        <f>H113+F114-G114</f>
        <v/>
      </c>
    </row>
    <row r="115">
      <c r="A115" s="13" t="n">
        <v>46290</v>
      </c>
      <c r="B115" s="8" t="n">
        <v>46261</v>
      </c>
      <c r="C115" s="9" t="inlineStr">
        <is>
          <t>CVA</t>
        </is>
      </c>
      <c r="D115" s="9" t="inlineStr">
        <is>
          <t>1048-00029795</t>
        </is>
      </c>
      <c r="E115" s="10" t="inlineStr">
        <is>
          <t>ADB AGROPECUARIA S.A. (45842) - CAB. AP. 5 (MER-FAE-MER) Alícuota: 1.50 s/ Bruto</t>
        </is>
      </c>
      <c r="F115" s="11" t="n"/>
      <c r="G115" s="11" t="n">
        <v>77644.5</v>
      </c>
      <c r="H115" s="12">
        <f>H114+F115-G115</f>
        <v/>
      </c>
    </row>
    <row r="116">
      <c r="A116" s="14" t="n">
        <v>46295</v>
      </c>
      <c r="B116" s="14" t="n">
        <v>46265</v>
      </c>
      <c r="C116" s="15" t="inlineStr">
        <is>
          <t>CVA</t>
        </is>
      </c>
      <c r="D116" s="15" t="inlineStr">
        <is>
          <t>1002-00010015</t>
        </is>
      </c>
      <c r="E116" s="16" t="inlineStr">
        <is>
          <t>GALDOS, JUAN GERMAN (31998) - CAB. AP. 110 (TV-INV-HEN) Alícuota: 1.75 s/ Bruto</t>
        </is>
      </c>
      <c r="F116" s="17" t="n"/>
      <c r="G116" s="17" t="n">
        <v>2533781.25</v>
      </c>
      <c r="H116" s="18">
        <f>H115+F116-G116</f>
        <v/>
      </c>
    </row>
    <row r="117">
      <c r="A117" s="14" t="n">
        <v>46297</v>
      </c>
      <c r="B117" s="14" t="n">
        <v>46288</v>
      </c>
      <c r="C117" s="15" t="inlineStr">
        <is>
          <t>ALC</t>
        </is>
      </c>
      <c r="D117" s="15" t="inlineStr">
        <is>
          <t>1080-00000288</t>
        </is>
      </c>
      <c r="E117" s="16" t="inlineStr">
        <is>
          <t>ESTANCIA EL FORTIN S.A. (80201) - CAB. AP. 1 (FERIA-REP-CAB LA PELADA) Alícuota: 20.00 s/ Comis.Neta</t>
        </is>
      </c>
      <c r="F117" s="17" t="n">
        <v>92000</v>
      </c>
      <c r="G117" s="17" t="n"/>
      <c r="H117" s="18">
        <f>H116+F117-G117</f>
        <v/>
      </c>
    </row>
    <row r="118">
      <c r="A118" s="13" t="n">
        <v>46297</v>
      </c>
      <c r="B118" s="8" t="n">
        <v>46288</v>
      </c>
      <c r="C118" s="9" t="inlineStr">
        <is>
          <t>LCAP</t>
        </is>
      </c>
      <c r="D118" s="9" t="inlineStr">
        <is>
          <t>1080-00000224</t>
        </is>
      </c>
      <c r="E118" s="10" t="inlineStr">
        <is>
          <t>ROSSETTI S.A.C.I.F.I. (01444) - CAB. AP. 27 (FERIA-REP-CAB LA PELADA) Alícuota: 20.00 s/ Comis.Neta</t>
        </is>
      </c>
      <c r="F118" s="11" t="n"/>
      <c r="G118" s="11" t="n">
        <v>767200</v>
      </c>
      <c r="H118" s="12">
        <f>H117+F118-G118</f>
        <v/>
      </c>
    </row>
    <row r="119">
      <c r="A119" s="13" t="n">
        <v>46297</v>
      </c>
      <c r="B119" s="8" t="n">
        <v>46288</v>
      </c>
      <c r="C119" s="9" t="inlineStr">
        <is>
          <t>LCAP</t>
        </is>
      </c>
      <c r="D119" s="9" t="inlineStr">
        <is>
          <t>1080-00000225</t>
        </is>
      </c>
      <c r="E119" s="10" t="inlineStr">
        <is>
          <t>WERTHEIN S.A. GREGORIO, NUMO &amp; NOEL (20005) - CAB. AP. 1 (FERIA-REP-CAB LA PELADA) Alícuota: 20.00 s/ Comis.Neta</t>
        </is>
      </c>
      <c r="F119" s="11" t="n"/>
      <c r="G119" s="11" t="n">
        <v>264000</v>
      </c>
      <c r="H119" s="12">
        <f>H118+F119-G119</f>
        <v/>
      </c>
    </row>
    <row r="120">
      <c r="A120" s="13" t="n">
        <v>46297</v>
      </c>
      <c r="B120" s="8" t="n">
        <v>46288</v>
      </c>
      <c r="C120" s="9" t="inlineStr">
        <is>
          <t>LCAP</t>
        </is>
      </c>
      <c r="D120" s="9" t="inlineStr">
        <is>
          <t>1080-00000226</t>
        </is>
      </c>
      <c r="E120" s="10" t="inlineStr">
        <is>
          <t>SARA M. LASTRA E HIJOS S.H. (21348) - CAB. AP. 1 (FERIA-REP- CAB LA PELADA) Alícuota: 20.00 s/ Comis.Neta</t>
        </is>
      </c>
      <c r="F120" s="11" t="n"/>
      <c r="G120" s="11" t="n">
        <v>77600</v>
      </c>
      <c r="H120" s="12">
        <f>H119+F120-G120</f>
        <v/>
      </c>
    </row>
    <row r="121">
      <c r="A121" s="13" t="n">
        <v>46297</v>
      </c>
      <c r="B121" s="8" t="n">
        <v>46288</v>
      </c>
      <c r="C121" s="9" t="inlineStr">
        <is>
          <t>LCAP</t>
        </is>
      </c>
      <c r="D121" s="9" t="inlineStr">
        <is>
          <t>1080-00000227</t>
        </is>
      </c>
      <c r="E121" s="10" t="inlineStr">
        <is>
          <t>EL PROGRESO DE RAWSON S.A. (26830) - CAB. AP. 5 (FERIA- REP-CAB LA PELADA) Alícuota: 20.00 s/ Comis.Neta</t>
        </is>
      </c>
      <c r="F121" s="11" t="n"/>
      <c r="G121" s="11" t="n">
        <v>201000</v>
      </c>
      <c r="H121" s="12">
        <f>H120+F121-G121</f>
        <v/>
      </c>
    </row>
    <row r="122">
      <c r="A122" s="13" t="n">
        <v>46297</v>
      </c>
      <c r="B122" s="8" t="n">
        <v>46288</v>
      </c>
      <c r="C122" s="9" t="inlineStr">
        <is>
          <t>LCAP</t>
        </is>
      </c>
      <c r="D122" s="9" t="inlineStr">
        <is>
          <t>1080-00000228</t>
        </is>
      </c>
      <c r="E122" s="10" t="inlineStr">
        <is>
          <t>EL PROGRESO DE RAWSON S.A. (26830) - CAB. AP. 1 (FERIA- REP-CAB LA PELADA) Alícuota: 20.00 s/ Comis.Neta</t>
        </is>
      </c>
      <c r="F122" s="11" t="n"/>
      <c r="G122" s="11" t="n">
        <v>34000</v>
      </c>
      <c r="H122" s="12">
        <f>H121+F122-G122</f>
        <v/>
      </c>
    </row>
    <row r="123">
      <c r="A123" s="13" t="n">
        <v>46297</v>
      </c>
      <c r="B123" s="8" t="n">
        <v>46288</v>
      </c>
      <c r="C123" s="9" t="inlineStr">
        <is>
          <t>LCAP</t>
        </is>
      </c>
      <c r="D123" s="9" t="inlineStr">
        <is>
          <t>1080-00000229</t>
        </is>
      </c>
      <c r="E123" s="10" t="inlineStr">
        <is>
          <t>CIAVIRELLA, MARIA HAYDEE (28445) - CAB. AP. 1 (FERIA-REP- CAB LA PELADA) Alícuota: 20.00 s/ Comis.Neta</t>
        </is>
      </c>
      <c r="F123" s="11" t="n"/>
      <c r="G123" s="11" t="n">
        <v>76000</v>
      </c>
      <c r="H123" s="12">
        <f>H122+F123-G123</f>
        <v/>
      </c>
    </row>
    <row r="124">
      <c r="A124" s="13" t="n">
        <v>46297</v>
      </c>
      <c r="B124" s="8" t="n">
        <v>46288</v>
      </c>
      <c r="C124" s="9" t="inlineStr">
        <is>
          <t>LCAP</t>
        </is>
      </c>
      <c r="D124" s="9" t="inlineStr">
        <is>
          <t>1080-00000230</t>
        </is>
      </c>
      <c r="E124" s="10" t="inlineStr">
        <is>
          <t>SIMON, MARCELO ALBERTO (30311) - CAB. AP. 22 (FERIA-REP- CAB LA PELADA) Alícuota: 20.00 s/ Comis.Neta</t>
        </is>
      </c>
      <c r="F124" s="11" t="n"/>
      <c r="G124" s="11" t="n">
        <v>422400</v>
      </c>
      <c r="H124" s="12">
        <f>H123+F124-G124</f>
        <v/>
      </c>
    </row>
    <row r="125">
      <c r="A125" s="13" t="n">
        <v>46297</v>
      </c>
      <c r="B125" s="8" t="n">
        <v>46288</v>
      </c>
      <c r="C125" s="9" t="inlineStr">
        <is>
          <t>LCAP</t>
        </is>
      </c>
      <c r="D125" s="9" t="inlineStr">
        <is>
          <t>1080-00000231</t>
        </is>
      </c>
      <c r="E125" s="10" t="inlineStr">
        <is>
          <t>LA JUSTINA S.R.L. (31601) - CAB. AP. 1 (FERIA-REP-CAB LA PELADA) Alícuota: 20.00 s/ Comis.Neta</t>
        </is>
      </c>
      <c r="F125" s="11" t="n"/>
      <c r="G125" s="11" t="n">
        <v>108000</v>
      </c>
      <c r="H125" s="12">
        <f>H124+F125-G125</f>
        <v/>
      </c>
    </row>
    <row r="126">
      <c r="A126" s="13" t="n">
        <v>46297</v>
      </c>
      <c r="B126" s="8" t="n">
        <v>46288</v>
      </c>
      <c r="C126" s="9" t="inlineStr">
        <is>
          <t>LCAP</t>
        </is>
      </c>
      <c r="D126" s="9" t="inlineStr">
        <is>
          <t>1080-00000232</t>
        </is>
      </c>
      <c r="E126" s="10" t="inlineStr">
        <is>
          <t>SUCESORES DE JORGE A BLANCO VILLEGAS S.H (32984) - CAB. AP. 42 (FERIA-REP-CAB LA PELADA) Alícuota: 20.00 s/ Comis.Neta</t>
        </is>
      </c>
      <c r="F126" s="11" t="n"/>
      <c r="G126" s="11" t="n">
        <v>1533600</v>
      </c>
      <c r="H126" s="12">
        <f>H125+F126-G126</f>
        <v/>
      </c>
    </row>
    <row r="127">
      <c r="A127" s="13" t="n">
        <v>46297</v>
      </c>
      <c r="B127" s="8" t="n">
        <v>46288</v>
      </c>
      <c r="C127" s="9" t="inlineStr">
        <is>
          <t>LCAP</t>
        </is>
      </c>
      <c r="D127" s="9" t="inlineStr">
        <is>
          <t>1080-00000233</t>
        </is>
      </c>
      <c r="E127" s="10" t="inlineStr">
        <is>
          <t>GODOY, SANTIAGO TADEO (34380) - CAB. AP. 1 (FERIA-REP-CAB LA PELADA) Alícuota: 20.00 s/ Comis.Neta</t>
        </is>
      </c>
      <c r="F127" s="11" t="n"/>
      <c r="G127" s="11" t="n">
        <v>108000</v>
      </c>
      <c r="H127" s="12">
        <f>H126+F127-G127</f>
        <v/>
      </c>
    </row>
    <row r="128">
      <c r="A128" s="13" t="n">
        <v>46297</v>
      </c>
      <c r="B128" s="8" t="n">
        <v>46288</v>
      </c>
      <c r="C128" s="9" t="inlineStr">
        <is>
          <t>LCAP</t>
        </is>
      </c>
      <c r="D128" s="9" t="inlineStr">
        <is>
          <t>1080-00000234</t>
        </is>
      </c>
      <c r="E128" s="10" t="inlineStr">
        <is>
          <t>FOLKO S.R.L (34704) - CAB. AP. 20 (FERIA-REP-CAB LA PELADA) Alícuota: 20.00 s/ Comis.Neta</t>
        </is>
      </c>
      <c r="F128" s="11" t="n"/>
      <c r="G128" s="11" t="n">
        <v>528000</v>
      </c>
      <c r="H128" s="12">
        <f>H127+F128-G128</f>
        <v/>
      </c>
    </row>
    <row r="129">
      <c r="A129" s="13" t="n">
        <v>46297</v>
      </c>
      <c r="B129" s="8" t="n">
        <v>46288</v>
      </c>
      <c r="C129" s="9" t="inlineStr">
        <is>
          <t>LCAP</t>
        </is>
      </c>
      <c r="D129" s="9" t="inlineStr">
        <is>
          <t>1080-00000235</t>
        </is>
      </c>
      <c r="E129" s="10" t="inlineStr">
        <is>
          <t>MARIA DEL MAR S.A. (35348) - CAB. AP. 2 (FERIA-REP-CAB LA PELADA) Alícuota: 20.00 s/ Comis.Neta</t>
        </is>
      </c>
      <c r="F129" s="11" t="n"/>
      <c r="G129" s="11" t="n">
        <v>164000</v>
      </c>
      <c r="H129" s="12">
        <f>H128+F129-G129</f>
        <v/>
      </c>
    </row>
    <row r="130">
      <c r="A130" s="13" t="n">
        <v>46297</v>
      </c>
      <c r="B130" s="8" t="n">
        <v>46288</v>
      </c>
      <c r="C130" s="9" t="inlineStr">
        <is>
          <t>LCAP</t>
        </is>
      </c>
      <c r="D130" s="9" t="inlineStr">
        <is>
          <t>1080-00000236</t>
        </is>
      </c>
      <c r="E130" s="10" t="inlineStr">
        <is>
          <t>SALOMON, JUAN DOMINGO (35666) - CAB. AP. 2 (FERIA-REP- CAB LA PELADA) Alícuota: 20.00 s/ Comis.Neta</t>
        </is>
      </c>
      <c r="F130" s="11" t="n"/>
      <c r="G130" s="11" t="n">
        <v>148000</v>
      </c>
      <c r="H130" s="12">
        <f>H129+F130-G130</f>
        <v/>
      </c>
    </row>
    <row r="131">
      <c r="A131" s="13" t="n">
        <v>46297</v>
      </c>
      <c r="B131" s="8" t="n">
        <v>46288</v>
      </c>
      <c r="C131" s="9" t="inlineStr">
        <is>
          <t>LCAP</t>
        </is>
      </c>
      <c r="D131" s="9" t="inlineStr">
        <is>
          <t>1080-00000237</t>
        </is>
      </c>
      <c r="E131" s="10" t="inlineStr">
        <is>
          <t>SALOMON, JUAN DOMINGO (35666) - CAB. AP. 1 (FERIA-REP- CAB LA PELADA) Alícuota: 20.00 s/ Comis.Neta</t>
        </is>
      </c>
      <c r="F131" s="11" t="n"/>
      <c r="G131" s="11" t="n">
        <v>77600</v>
      </c>
      <c r="H131" s="12">
        <f>H130+F131-G131</f>
        <v/>
      </c>
    </row>
    <row r="132">
      <c r="A132" s="13" t="n">
        <v>46297</v>
      </c>
      <c r="B132" s="8" t="n">
        <v>46288</v>
      </c>
      <c r="C132" s="9" t="inlineStr">
        <is>
          <t>LCAP</t>
        </is>
      </c>
      <c r="D132" s="9" t="inlineStr">
        <is>
          <t>1080-00000240</t>
        </is>
      </c>
      <c r="E132" s="10" t="inlineStr">
        <is>
          <t>TABOADA, HORACIO ALFREDO (37208) - CAB. AP. 1 (FERIA-REP- CAB LA PELADA) Alícuota: 20.00 s/ Comis.Neta</t>
        </is>
      </c>
      <c r="F132" s="11" t="n"/>
      <c r="G132" s="11" t="n">
        <v>72000</v>
      </c>
      <c r="H132" s="12">
        <f>H131+F132-G132</f>
        <v/>
      </c>
    </row>
    <row r="133">
      <c r="A133" s="13" t="n">
        <v>46297</v>
      </c>
      <c r="B133" s="8" t="n">
        <v>46288</v>
      </c>
      <c r="C133" s="9" t="inlineStr">
        <is>
          <t>LCAP</t>
        </is>
      </c>
      <c r="D133" s="9" t="inlineStr">
        <is>
          <t>1080-00000241</t>
        </is>
      </c>
      <c r="E133" s="10" t="inlineStr">
        <is>
          <t>AGROPECUARIA LOS TORDOS S.R.L. (38397) - CAB. AP. 28 (FERIA-REP-CAB LA PELADA) Alícuota: 20.00 s/ Comis.Neta</t>
        </is>
      </c>
      <c r="F133" s="11" t="n"/>
      <c r="G133" s="11" t="n">
        <v>582400</v>
      </c>
      <c r="H133" s="12">
        <f>H132+F133-G133</f>
        <v/>
      </c>
    </row>
    <row r="134">
      <c r="A134" s="13" t="n">
        <v>46297</v>
      </c>
      <c r="B134" s="8" t="n">
        <v>46288</v>
      </c>
      <c r="C134" s="9" t="inlineStr">
        <is>
          <t>LCAP</t>
        </is>
      </c>
      <c r="D134" s="9" t="inlineStr">
        <is>
          <t>1080-00000242</t>
        </is>
      </c>
      <c r="E134" s="10" t="inlineStr">
        <is>
          <t>LA VALLE, HORACIO LUIS (39510) - CAB. AP. 3 (FERIA-REP-CAB LA PELADA) Alícuota: 20.00 s/ Comis.Neta</t>
        </is>
      </c>
      <c r="F134" s="11" t="n"/>
      <c r="G134" s="11" t="n">
        <v>328000</v>
      </c>
      <c r="H134" s="12">
        <f>H133+F134-G134</f>
        <v/>
      </c>
    </row>
    <row r="135">
      <c r="A135" s="13" t="n">
        <v>46297</v>
      </c>
      <c r="B135" s="8" t="n">
        <v>46288</v>
      </c>
      <c r="C135" s="9" t="inlineStr">
        <is>
          <t>LCAP</t>
        </is>
      </c>
      <c r="D135" s="9" t="inlineStr">
        <is>
          <t>1080-00000243</t>
        </is>
      </c>
      <c r="E135" s="10" t="inlineStr">
        <is>
          <t>LA VALLE, HORACIO LUIS (39510) - CAB. AP. 1 (FERIA-REP-CAB LA PELADA) Alícuota: 20.00 s/ Comis.Neta</t>
        </is>
      </c>
      <c r="F135" s="11" t="n"/>
      <c r="G135" s="11" t="n">
        <v>92000</v>
      </c>
      <c r="H135" s="12">
        <f>H134+F135-G135</f>
        <v/>
      </c>
    </row>
    <row r="136">
      <c r="A136" s="13" t="n">
        <v>46297</v>
      </c>
      <c r="B136" s="8" t="n">
        <v>46288</v>
      </c>
      <c r="C136" s="9" t="inlineStr">
        <is>
          <t>LCAP</t>
        </is>
      </c>
      <c r="D136" s="9" t="inlineStr">
        <is>
          <t>1080-00000244</t>
        </is>
      </c>
      <c r="E136" s="10" t="inlineStr">
        <is>
          <t>MELANI EDUARDO EMILIO S.A. (HAC) (40975) - CAB. AP. 1 (FERIA-REP-CAB LA PELADA) Alícuota: 20.00 s/ Comis.Neta</t>
        </is>
      </c>
      <c r="F136" s="11" t="n"/>
      <c r="G136" s="11" t="n">
        <v>88000</v>
      </c>
      <c r="H136" s="12">
        <f>H135+F136-G136</f>
        <v/>
      </c>
    </row>
    <row r="137">
      <c r="A137" s="13" t="n">
        <v>46297</v>
      </c>
      <c r="B137" s="8" t="n">
        <v>46288</v>
      </c>
      <c r="C137" s="9" t="inlineStr">
        <is>
          <t>LCAP</t>
        </is>
      </c>
      <c r="D137" s="9" t="inlineStr">
        <is>
          <t>1080-00000245</t>
        </is>
      </c>
      <c r="E137" s="10" t="inlineStr">
        <is>
          <t>MELANI EDUARDO EMILIO S.A. (HAC) (40975) - CAB. AP. 1 (FERIA-REP-CAB LA PELADA) Alícuota: 20.00 s/ Comis.Neta</t>
        </is>
      </c>
      <c r="F137" s="11" t="n"/>
      <c r="G137" s="11" t="n">
        <v>104000</v>
      </c>
      <c r="H137" s="12">
        <f>H136+F137-G137</f>
        <v/>
      </c>
    </row>
    <row r="138">
      <c r="A138" s="13" t="n">
        <v>46297</v>
      </c>
      <c r="B138" s="8" t="n">
        <v>46288</v>
      </c>
      <c r="C138" s="9" t="inlineStr">
        <is>
          <t>LCAP</t>
        </is>
      </c>
      <c r="D138" s="9" t="inlineStr">
        <is>
          <t>1080-00000246</t>
        </is>
      </c>
      <c r="E138" s="10" t="inlineStr">
        <is>
          <t>TRES T S.A. (41619) - CAB. AP. 1 (FERIA-REP-CAB LA PELADA) Alícuota: 20.00 s/ Comis.Neta</t>
        </is>
      </c>
      <c r="F138" s="11" t="n"/>
      <c r="G138" s="11" t="n">
        <v>136000</v>
      </c>
      <c r="H138" s="12">
        <f>H137+F138-G138</f>
        <v/>
      </c>
    </row>
    <row r="139">
      <c r="A139" s="13" t="n">
        <v>46297</v>
      </c>
      <c r="B139" s="8" t="n">
        <v>46288</v>
      </c>
      <c r="C139" s="9" t="inlineStr">
        <is>
          <t>LCAP</t>
        </is>
      </c>
      <c r="D139" s="9" t="inlineStr">
        <is>
          <t>1080-00000247</t>
        </is>
      </c>
      <c r="E139" s="10" t="inlineStr">
        <is>
          <t>DELFINAGRO S.A. (41649) - CAB. AP. 26 (FERIA-REP-CAB LA PELADA) Alícuota: 20.00 s/ Comis.Neta</t>
        </is>
      </c>
      <c r="F139" s="11" t="n"/>
      <c r="G139" s="11" t="n">
        <v>842400</v>
      </c>
      <c r="H139" s="12">
        <f>H138+F139-G139</f>
        <v/>
      </c>
    </row>
    <row r="140">
      <c r="A140" s="13" t="n">
        <v>46297</v>
      </c>
      <c r="B140" s="8" t="n">
        <v>46288</v>
      </c>
      <c r="C140" s="9" t="inlineStr">
        <is>
          <t>LCAP</t>
        </is>
      </c>
      <c r="D140" s="9" t="inlineStr">
        <is>
          <t>1080-00000250</t>
        </is>
      </c>
      <c r="E140" s="10" t="inlineStr">
        <is>
          <t>BALLESTER, FELIPE JUAN (43676) - CAB. AP. 9 (FERIA-REP-CAB LA PELADA) Alícuota: 20.00 s/ Comis.Neta</t>
        </is>
      </c>
      <c r="F140" s="11" t="n"/>
      <c r="G140" s="11" t="n">
        <v>587200</v>
      </c>
      <c r="H140" s="12">
        <f>H139+F140-G140</f>
        <v/>
      </c>
    </row>
    <row r="141">
      <c r="A141" s="13" t="n">
        <v>46297</v>
      </c>
      <c r="B141" s="8" t="n">
        <v>46288</v>
      </c>
      <c r="C141" s="9" t="inlineStr">
        <is>
          <t>LCAP</t>
        </is>
      </c>
      <c r="D141" s="9" t="inlineStr">
        <is>
          <t>1080-00000251</t>
        </is>
      </c>
      <c r="E141" s="10" t="inlineStr">
        <is>
          <t>BALLESTER, FELIPE JUAN (43676) - CAB. AP. 1 (FERIA-REP-CAB LA PELADA) Alícuota: 20.00 s/ Comis.Neta</t>
        </is>
      </c>
      <c r="F141" s="11" t="n"/>
      <c r="G141" s="11" t="n">
        <v>244000</v>
      </c>
      <c r="H141" s="12">
        <f>H140+F141-G141</f>
        <v/>
      </c>
    </row>
    <row r="142">
      <c r="A142" s="13" t="n">
        <v>46297</v>
      </c>
      <c r="B142" s="8" t="n">
        <v>46288</v>
      </c>
      <c r="C142" s="9" t="inlineStr">
        <is>
          <t>LCAP</t>
        </is>
      </c>
      <c r="D142" s="9" t="inlineStr">
        <is>
          <t>1080-00000252</t>
        </is>
      </c>
      <c r="E142" s="10" t="inlineStr">
        <is>
          <t>LAUBURU S. R. L. (44310) - CAB. AP. 1 (FERIA-REP-CAB LA PELADA) Alícuota: 20.00 s/ Comis.Neta</t>
        </is>
      </c>
      <c r="F142" s="11" t="n"/>
      <c r="G142" s="11" t="n">
        <v>68000</v>
      </c>
      <c r="H142" s="12">
        <f>H141+F142-G142</f>
        <v/>
      </c>
    </row>
    <row r="143">
      <c r="A143" s="13" t="n">
        <v>46297</v>
      </c>
      <c r="B143" s="8" t="n">
        <v>46288</v>
      </c>
      <c r="C143" s="9" t="inlineStr">
        <is>
          <t>LCAP</t>
        </is>
      </c>
      <c r="D143" s="9" t="inlineStr">
        <is>
          <t>1080-00000253</t>
        </is>
      </c>
      <c r="E143" s="10" t="inlineStr">
        <is>
          <t>DE POL, ESTEBAN MARIA (44755) - CAB. AP. 2 (FERIA-REP-CAB LA PELADA) Alícuota: 20.00 s/ Comis.Neta</t>
        </is>
      </c>
      <c r="F143" s="11" t="n"/>
      <c r="G143" s="11" t="n">
        <v>168000</v>
      </c>
      <c r="H143" s="12">
        <f>H142+F143-G143</f>
        <v/>
      </c>
    </row>
    <row r="144">
      <c r="A144" s="13" t="n">
        <v>46297</v>
      </c>
      <c r="B144" s="8" t="n">
        <v>46288</v>
      </c>
      <c r="C144" s="9" t="inlineStr">
        <is>
          <t>LCAP</t>
        </is>
      </c>
      <c r="D144" s="9" t="inlineStr">
        <is>
          <t>1080-00000254</t>
        </is>
      </c>
      <c r="E144" s="10" t="inlineStr">
        <is>
          <t>LA JUSTICIERA SRL (45643) - CAB. AP. 22 (FERIA-REP-CAB LA PELADA) Alícuota: 20.00 s/ Comis.Neta</t>
        </is>
      </c>
      <c r="F144" s="11" t="n"/>
      <c r="G144" s="11" t="n">
        <v>580800</v>
      </c>
      <c r="H144" s="12">
        <f>H143+F144-G144</f>
        <v/>
      </c>
    </row>
    <row r="145">
      <c r="A145" s="13" t="n">
        <v>46297</v>
      </c>
      <c r="B145" s="8" t="n">
        <v>46288</v>
      </c>
      <c r="C145" s="9" t="inlineStr">
        <is>
          <t>LCAP</t>
        </is>
      </c>
      <c r="D145" s="9" t="inlineStr">
        <is>
          <t>1080-00000257</t>
        </is>
      </c>
      <c r="E145" s="10" t="inlineStr">
        <is>
          <t>APPHATIE S.C.A., PEDRO ALFREDO (47202) - CAB. AP. 1 (FERIA- REP-CAB LA PELADA) Alícuota: 20.00 s/ Comis.Neta</t>
        </is>
      </c>
      <c r="F145" s="11" t="n"/>
      <c r="G145" s="11" t="n">
        <v>104400</v>
      </c>
      <c r="H145" s="12">
        <f>H144+F145-G145</f>
        <v/>
      </c>
    </row>
    <row r="146">
      <c r="A146" s="13" t="n">
        <v>46297</v>
      </c>
      <c r="B146" s="8" t="n">
        <v>46288</v>
      </c>
      <c r="C146" s="9" t="inlineStr">
        <is>
          <t>LCAP</t>
        </is>
      </c>
      <c r="D146" s="9" t="inlineStr">
        <is>
          <t>1080-00000258</t>
        </is>
      </c>
      <c r="E146" s="10" t="inlineStr">
        <is>
          <t>APPHATIE S.C.A., PEDRO ALFREDO (47202) - CAB. AP. 2 (FERIA- REP-CAB LA PELADA) Alícuota: 20.00 s/ Comis.Neta</t>
        </is>
      </c>
      <c r="F146" s="11" t="n"/>
      <c r="G146" s="11" t="n">
        <v>220800</v>
      </c>
      <c r="H146" s="12">
        <f>H145+F146-G146</f>
        <v/>
      </c>
    </row>
    <row r="147">
      <c r="A147" s="13" t="n">
        <v>46297</v>
      </c>
      <c r="B147" s="8" t="n">
        <v>46288</v>
      </c>
      <c r="C147" s="9" t="inlineStr">
        <is>
          <t>LCAP</t>
        </is>
      </c>
      <c r="D147" s="9" t="inlineStr">
        <is>
          <t>1080-00000259</t>
        </is>
      </c>
      <c r="E147" s="10" t="inlineStr">
        <is>
          <t>TRAMONTINI, RICARDO CRISOLOGO (47357) - CAB. AP. 3 (FERIA-REP-CAB LA PELADA) Alícuota: 20.00 s/ Comis.Neta</t>
        </is>
      </c>
      <c r="F147" s="11" t="n"/>
      <c r="G147" s="11" t="n">
        <v>57400</v>
      </c>
      <c r="H147" s="12">
        <f>H146+F147-G147</f>
        <v/>
      </c>
    </row>
    <row r="148">
      <c r="A148" s="13" t="n">
        <v>46297</v>
      </c>
      <c r="B148" s="8" t="n">
        <v>46288</v>
      </c>
      <c r="C148" s="9" t="inlineStr">
        <is>
          <t>LCAP</t>
        </is>
      </c>
      <c r="D148" s="9" t="inlineStr">
        <is>
          <t>1080-00000260</t>
        </is>
      </c>
      <c r="E148" s="10" t="inlineStr">
        <is>
          <t>WORLDWIDE S.A. ,EMERY (47651) - CAB. AP. 1 (FERIA-REP-CAB LA PELADA) Alícuota: 20.00 s/ Comis.Neta</t>
        </is>
      </c>
      <c r="F148" s="11" t="n"/>
      <c r="G148" s="11" t="n">
        <v>84000</v>
      </c>
      <c r="H148" s="12">
        <f>H147+F148-G148</f>
        <v/>
      </c>
    </row>
    <row r="149">
      <c r="A149" s="13" t="n">
        <v>46297</v>
      </c>
      <c r="B149" s="8" t="n">
        <v>46288</v>
      </c>
      <c r="C149" s="9" t="inlineStr">
        <is>
          <t>LCAP</t>
        </is>
      </c>
      <c r="D149" s="9" t="inlineStr">
        <is>
          <t>1080-00000261</t>
        </is>
      </c>
      <c r="E149" s="10" t="inlineStr">
        <is>
          <t>WORLDWIDE S.A. ,EMERY (47651) - CAB. AP. 1 (FERIA-REP-CAB LA PELADA) Alícuota: 20.00 s/ Comis.Neta</t>
        </is>
      </c>
      <c r="F149" s="11" t="n"/>
      <c r="G149" s="11" t="n">
        <v>88000</v>
      </c>
      <c r="H149" s="12">
        <f>H148+F149-G149</f>
        <v/>
      </c>
    </row>
    <row r="150">
      <c r="A150" s="13" t="n">
        <v>46297</v>
      </c>
      <c r="B150" s="8" t="n">
        <v>46288</v>
      </c>
      <c r="C150" s="9" t="inlineStr">
        <is>
          <t>LCAP</t>
        </is>
      </c>
      <c r="D150" s="9" t="inlineStr">
        <is>
          <t>1080-00000262</t>
        </is>
      </c>
      <c r="E150" s="10" t="inlineStr">
        <is>
          <t>ESTAB. AGROINDUSTRIAL DON ZOILO S.R.L (47747) - CAB. AP. 27 (FERIA-REP-CAB LA PELADA) Alícuota: 20.00 s/ Comis.Neta</t>
        </is>
      </c>
      <c r="F150" s="11" t="n"/>
      <c r="G150" s="11" t="n">
        <v>888000</v>
      </c>
      <c r="H150" s="12">
        <f>H149+F150-G150</f>
        <v/>
      </c>
    </row>
    <row r="151">
      <c r="A151" s="13" t="n">
        <v>46297</v>
      </c>
      <c r="B151" s="8" t="n">
        <v>46288</v>
      </c>
      <c r="C151" s="9" t="inlineStr">
        <is>
          <t>LCAP</t>
        </is>
      </c>
      <c r="D151" s="9" t="inlineStr">
        <is>
          <t>1080-00000263</t>
        </is>
      </c>
      <c r="E151" s="10" t="inlineStr">
        <is>
          <t>ESTAB. AGROINDUSTRIAL DON ZOILO S.R.L (47747) - CAB. AP. 22 (FERIA-REP-CAB LA PELADA) Alícuota: 20.00 s/ Comis.Neta</t>
        </is>
      </c>
      <c r="F151" s="11" t="n"/>
      <c r="G151" s="11" t="n">
        <v>633600</v>
      </c>
      <c r="H151" s="12">
        <f>H150+F151-G151</f>
        <v/>
      </c>
    </row>
    <row r="152">
      <c r="A152" s="13" t="n">
        <v>46297</v>
      </c>
      <c r="B152" s="8" t="n">
        <v>46288</v>
      </c>
      <c r="C152" s="9" t="inlineStr">
        <is>
          <t>LCAP</t>
        </is>
      </c>
      <c r="D152" s="9" t="inlineStr">
        <is>
          <t>1080-00000264</t>
        </is>
      </c>
      <c r="E152" s="10" t="inlineStr">
        <is>
          <t>LOPEZ, JORGE ENRIQUE (47749) - CAB. AP. 28 (FERIA-REP-CAB LA PELADA) Alícuota: 20.00 s/ Comis.Neta</t>
        </is>
      </c>
      <c r="F152" s="11" t="n"/>
      <c r="G152" s="11" t="n">
        <v>604800</v>
      </c>
      <c r="H152" s="12">
        <f>H151+F152-G152</f>
        <v/>
      </c>
    </row>
    <row r="153">
      <c r="A153" s="13" t="n">
        <v>46297</v>
      </c>
      <c r="B153" s="8" t="n">
        <v>46288</v>
      </c>
      <c r="C153" s="9" t="inlineStr">
        <is>
          <t>LCAP</t>
        </is>
      </c>
      <c r="D153" s="9" t="inlineStr">
        <is>
          <t>1080-00000265</t>
        </is>
      </c>
      <c r="E153" s="10" t="inlineStr">
        <is>
          <t>IRULEGUI, MARCELO JAVIER (47922) - CAB. AP. 2 (FERIA-REP- CAB LA PELADA) Alícuota: 20.00 s/ Comis.Neta</t>
        </is>
      </c>
      <c r="F153" s="11" t="n"/>
      <c r="G153" s="11" t="n">
        <v>202800</v>
      </c>
      <c r="H153" s="12">
        <f>H152+F153-G153</f>
        <v/>
      </c>
    </row>
    <row r="154">
      <c r="A154" s="13" t="n">
        <v>46297</v>
      </c>
      <c r="B154" s="8" t="n">
        <v>46288</v>
      </c>
      <c r="C154" s="9" t="inlineStr">
        <is>
          <t>LCAP</t>
        </is>
      </c>
      <c r="D154" s="9" t="inlineStr">
        <is>
          <t>1080-00000266</t>
        </is>
      </c>
      <c r="E154" s="10" t="inlineStr">
        <is>
          <t>TREDICI S. CAP I SECC IV (48590) - CAB. AP. 22 (FERIA-REP-CAB LA PELADA) Alícuota: 20.00 s/ Comis.Neta</t>
        </is>
      </c>
      <c r="F154" s="11" t="n"/>
      <c r="G154" s="11" t="n">
        <v>422400</v>
      </c>
      <c r="H154" s="12">
        <f>H153+F154-G154</f>
        <v/>
      </c>
    </row>
    <row r="155">
      <c r="A155" s="13" t="n">
        <v>46297</v>
      </c>
      <c r="B155" s="8" t="n">
        <v>46288</v>
      </c>
      <c r="C155" s="9" t="inlineStr">
        <is>
          <t>LCAP</t>
        </is>
      </c>
      <c r="D155" s="9" t="inlineStr">
        <is>
          <t>1080-00000268</t>
        </is>
      </c>
      <c r="E155" s="10" t="inlineStr">
        <is>
          <t>TRES TALAS S.R.L. (51829) - CAB. AP. 1 (FERIA-REP-CAB LA PELADA) Alícuota: 20.00 s/ Comis.Neta</t>
        </is>
      </c>
      <c r="F155" s="11" t="n"/>
      <c r="G155" s="11" t="n">
        <v>102000</v>
      </c>
      <c r="H155" s="12">
        <f>H154+F155-G155</f>
        <v/>
      </c>
    </row>
    <row r="156">
      <c r="A156" s="13" t="n">
        <v>46297</v>
      </c>
      <c r="B156" s="8" t="n">
        <v>46288</v>
      </c>
      <c r="C156" s="9" t="inlineStr">
        <is>
          <t>LCAP</t>
        </is>
      </c>
      <c r="D156" s="9" t="inlineStr">
        <is>
          <t>1080-00000269</t>
        </is>
      </c>
      <c r="E156" s="10" t="inlineStr">
        <is>
          <t>PAZ, NESTOR HUGO (52189) - CAB. AP. 1 (FERIA-REP-CAB LA PELADA) Alícuota: 20.00 s/ Comis.Neta</t>
        </is>
      </c>
      <c r="F156" s="11" t="n"/>
      <c r="G156" s="11" t="n">
        <v>138000</v>
      </c>
      <c r="H156" s="12">
        <f>H155+F156-G156</f>
        <v/>
      </c>
    </row>
    <row r="157">
      <c r="A157" s="13" t="n">
        <v>46297</v>
      </c>
      <c r="B157" s="8" t="n">
        <v>46288</v>
      </c>
      <c r="C157" s="9" t="inlineStr">
        <is>
          <t>LCAP</t>
        </is>
      </c>
      <c r="D157" s="9" t="inlineStr">
        <is>
          <t>1080-00000273</t>
        </is>
      </c>
      <c r="E157" s="10" t="inlineStr">
        <is>
          <t>STEVANE, MARIA ESTER (52246) - CAB. AP. 1 (FERIA-REP-CAB LA PELADA) Alícuota: 20.00 s/ Comis.Neta</t>
        </is>
      </c>
      <c r="F157" s="11" t="n"/>
      <c r="G157" s="11" t="n">
        <v>96000</v>
      </c>
      <c r="H157" s="12">
        <f>H156+F157-G157</f>
        <v/>
      </c>
    </row>
    <row r="158">
      <c r="A158" s="13" t="n">
        <v>46297</v>
      </c>
      <c r="B158" s="8" t="n">
        <v>46288</v>
      </c>
      <c r="C158" s="9" t="inlineStr">
        <is>
          <t>LCAP</t>
        </is>
      </c>
      <c r="D158" s="9" t="inlineStr">
        <is>
          <t>1080-00000274</t>
        </is>
      </c>
      <c r="E158" s="10" t="inlineStr">
        <is>
          <t>ANGUS EL SAUZ S.A. (80195) - CAB. AP. 96 (FERIA-REP-CAB LA PELADA) Alícuota: 20.00 s/ Comis.Neta</t>
        </is>
      </c>
      <c r="F158" s="11" t="n"/>
      <c r="G158" s="11" t="n">
        <v>3223200</v>
      </c>
      <c r="H158" s="12">
        <f>H157+F158-G158</f>
        <v/>
      </c>
    </row>
    <row r="159">
      <c r="A159" s="13" t="n">
        <v>46297</v>
      </c>
      <c r="B159" s="8" t="n">
        <v>46288</v>
      </c>
      <c r="C159" s="9" t="inlineStr">
        <is>
          <t>LCAP</t>
        </is>
      </c>
      <c r="D159" s="9" t="inlineStr">
        <is>
          <t>1080-00000278</t>
        </is>
      </c>
      <c r="E159" s="10" t="inlineStr">
        <is>
          <t>LOS BAYOS S.S. (80198) - CAB. AP. 1 (FERIA-REP-CAB LA PELADA) Alícuota: 20.00 s/ Comis.Neta</t>
        </is>
      </c>
      <c r="F159" s="11" t="n"/>
      <c r="G159" s="11" t="n">
        <v>120000</v>
      </c>
      <c r="H159" s="12">
        <f>H158+F159-G159</f>
        <v/>
      </c>
    </row>
    <row r="160">
      <c r="A160" s="13" t="n">
        <v>46297</v>
      </c>
      <c r="B160" s="8" t="n">
        <v>46288</v>
      </c>
      <c r="C160" s="9" t="inlineStr">
        <is>
          <t>LCAP</t>
        </is>
      </c>
      <c r="D160" s="9" t="inlineStr">
        <is>
          <t>1080-00000279</t>
        </is>
      </c>
      <c r="E160" s="10" t="inlineStr">
        <is>
          <t>LA HERRERIA S.H. (80199) - CAB. AP. 1 (FERIA-REP-CAB LA PELADA) Alícuota: 20.00 s/ Comis.Neta</t>
        </is>
      </c>
      <c r="F160" s="11" t="n"/>
      <c r="G160" s="11" t="n">
        <v>98400</v>
      </c>
      <c r="H160" s="12">
        <f>H159+F160-G160</f>
        <v/>
      </c>
    </row>
    <row r="161">
      <c r="A161" s="13" t="n">
        <v>46297</v>
      </c>
      <c r="B161" s="8" t="n">
        <v>46288</v>
      </c>
      <c r="C161" s="9" t="inlineStr">
        <is>
          <t>LCAP</t>
        </is>
      </c>
      <c r="D161" s="9" t="inlineStr">
        <is>
          <t>1080-00000280</t>
        </is>
      </c>
      <c r="E161" s="10" t="inlineStr">
        <is>
          <t>ROLANDELLI, EDUARDO MARCELO (80200) - CAB. AP. 1 (FERIA- REP-CAB LA PELADA) Alícuota: 20.00 s/ Comis.Neta</t>
        </is>
      </c>
      <c r="F161" s="11" t="n"/>
      <c r="G161" s="11" t="n">
        <v>80400</v>
      </c>
      <c r="H161" s="12">
        <f>H160+F161-G161</f>
        <v/>
      </c>
    </row>
    <row r="162">
      <c r="A162" s="13" t="n">
        <v>46297</v>
      </c>
      <c r="B162" s="8" t="n">
        <v>46288</v>
      </c>
      <c r="C162" s="9" t="inlineStr">
        <is>
          <t>LCAP</t>
        </is>
      </c>
      <c r="D162" s="9" t="inlineStr">
        <is>
          <t>1080-00000281</t>
        </is>
      </c>
      <c r="E162" s="10" t="inlineStr">
        <is>
          <t>ESTANCIA EL FORTIN S.A. (80201) - CAB. AP. 1 (FERIA-REP-CAB LA PELADA) Alícuota: 20.00 s/ Comis.Neta</t>
        </is>
      </c>
      <c r="F162" s="11" t="n"/>
      <c r="G162" s="11" t="n">
        <v>93600</v>
      </c>
      <c r="H162" s="12">
        <f>H161+F162-G162</f>
        <v/>
      </c>
    </row>
    <row r="163">
      <c r="A163" s="13" t="n">
        <v>46297</v>
      </c>
      <c r="B163" s="8" t="n">
        <v>46288</v>
      </c>
      <c r="C163" s="9" t="inlineStr">
        <is>
          <t>LCAP</t>
        </is>
      </c>
      <c r="D163" s="9" t="inlineStr">
        <is>
          <t>1080-00000282</t>
        </is>
      </c>
      <c r="E163" s="10" t="inlineStr">
        <is>
          <t>ESTANCIA EL FORTIN S.A. (80201) - CAB. AP. 4 (FERIA-REP-CAB LA PELADA) Alícuota: 20.00 s/ Comis.Neta</t>
        </is>
      </c>
      <c r="F163" s="11" t="n"/>
      <c r="G163" s="11" t="n">
        <v>309600</v>
      </c>
      <c r="H163" s="12">
        <f>H162+F163-G163</f>
        <v/>
      </c>
    </row>
    <row r="164">
      <c r="A164" s="13" t="n">
        <v>46297</v>
      </c>
      <c r="B164" s="8" t="n">
        <v>46288</v>
      </c>
      <c r="C164" s="9" t="inlineStr">
        <is>
          <t>LCAP</t>
        </is>
      </c>
      <c r="D164" s="9" t="inlineStr">
        <is>
          <t>1080-00000283</t>
        </is>
      </c>
      <c r="E164" s="10" t="inlineStr">
        <is>
          <t>ESTANCIA EL FORTIN S.A. (80201) - CAB. AP. 1 (FERIA-REP-CAB</t>
        </is>
      </c>
      <c r="F164" s="11" t="n"/>
      <c r="G164" s="11" t="n">
        <v>92000</v>
      </c>
      <c r="H164" s="12">
        <f>H163+F164-G164</f>
        <v/>
      </c>
    </row>
    <row r="165">
      <c r="A165" s="13" t="n">
        <v>46297</v>
      </c>
      <c r="B165" s="8" t="n">
        <v>46288</v>
      </c>
      <c r="C165" s="9" t="inlineStr">
        <is>
          <t>LCAP</t>
        </is>
      </c>
      <c r="D165" s="9" t="inlineStr">
        <is>
          <t>1080-00000284</t>
        </is>
      </c>
      <c r="E165" s="10" t="inlineStr">
        <is>
          <t>AMMA S.R.L. (25718) - CAB. AP. 1 (FERIA-REP-CAB LA PELADA) Alícuota: 20.00 s/ Comis.Neta</t>
        </is>
      </c>
      <c r="F165" s="11" t="n"/>
      <c r="G165" s="11" t="n">
        <v>77600</v>
      </c>
      <c r="H165" s="12">
        <f>H164+F165-G165</f>
        <v/>
      </c>
    </row>
    <row r="166">
      <c r="A166" s="13" t="n">
        <v>46297</v>
      </c>
      <c r="B166" s="8" t="n">
        <v>46288</v>
      </c>
      <c r="C166" s="9" t="inlineStr">
        <is>
          <t>LCAP</t>
        </is>
      </c>
      <c r="D166" s="9" t="inlineStr">
        <is>
          <t>1080-00000286</t>
        </is>
      </c>
      <c r="E166" s="10" t="inlineStr">
        <is>
          <t>JOCARDA S.A. (31319) - CAB. AP. 152 (FERIA-REP-CAB LA PELADA) Alícuota: 20.00 s/ Comis.Neta</t>
        </is>
      </c>
      <c r="F166" s="11" t="n"/>
      <c r="G166" s="11" t="n">
        <v>3232000</v>
      </c>
      <c r="H166" s="12">
        <f>H165+F166-G166</f>
        <v/>
      </c>
    </row>
    <row r="167">
      <c r="A167" s="13" t="n">
        <v>46297</v>
      </c>
      <c r="B167" s="8" t="n">
        <v>46288</v>
      </c>
      <c r="C167" s="9" t="inlineStr">
        <is>
          <t>LCAP</t>
        </is>
      </c>
      <c r="D167" s="9" t="inlineStr">
        <is>
          <t>1080-00000287</t>
        </is>
      </c>
      <c r="E167" s="10" t="inlineStr">
        <is>
          <t>SALVINI E HIJOS S.R.L. (26399) - CAB. AP. 27 (FERIA-REP-CAB LA PELADA) Alícuota: 20.00 s/ Comis.Neta</t>
        </is>
      </c>
      <c r="F167" s="11" t="n"/>
      <c r="G167" s="11" t="n">
        <v>920400</v>
      </c>
      <c r="H167" s="12">
        <f>H166+F167-G167</f>
        <v/>
      </c>
    </row>
    <row r="168">
      <c r="A168" s="13" t="n">
        <v>46297</v>
      </c>
      <c r="B168" s="8" t="n">
        <v>46288</v>
      </c>
      <c r="C168" s="9" t="inlineStr">
        <is>
          <t>LCAP</t>
        </is>
      </c>
      <c r="D168" s="9" t="inlineStr">
        <is>
          <t>1080-00000289</t>
        </is>
      </c>
      <c r="E168" s="10" t="inlineStr">
        <is>
          <t>ESTANCIA EL FORTIN S.A. (80201) - CAB. AP. 1 (FERIA-REP-CAB LA PELADA) Alícuota: 20.00 s/ Comis.Neta</t>
        </is>
      </c>
      <c r="F168" s="11" t="n"/>
      <c r="G168" s="11" t="n">
        <v>92000</v>
      </c>
      <c r="H168" s="12">
        <f>H167+F168-G168</f>
        <v/>
      </c>
    </row>
    <row r="169">
      <c r="A169" s="13" t="n">
        <v>46297</v>
      </c>
      <c r="B169" s="8" t="n">
        <v>46288</v>
      </c>
      <c r="C169" s="9" t="inlineStr">
        <is>
          <t>LCAP</t>
        </is>
      </c>
      <c r="D169" s="9" t="inlineStr">
        <is>
          <t>1080-00000291</t>
        </is>
      </c>
      <c r="E169" s="10" t="inlineStr">
        <is>
          <t>CAMPOCOL S.A (36535) - CAB. AP. 20 (FERIA-REP-CAB LA PELADA) Alícuota: 20.00 s/ Comis.Neta</t>
        </is>
      </c>
      <c r="F169" s="11" t="n"/>
      <c r="G169" s="11" t="n">
        <v>250000</v>
      </c>
      <c r="H169" s="12">
        <f>H168+F169-G169</f>
        <v/>
      </c>
    </row>
    <row r="170">
      <c r="A170" s="13" t="n">
        <v>46297</v>
      </c>
      <c r="B170" s="8" t="n">
        <v>46288</v>
      </c>
      <c r="C170" s="9" t="inlineStr">
        <is>
          <t>LCAP</t>
        </is>
      </c>
      <c r="D170" s="9" t="inlineStr">
        <is>
          <t>1080-00000293</t>
        </is>
      </c>
      <c r="E170" s="10" t="inlineStr">
        <is>
          <t>CAMPOCOL S.A (36535) - CAB. AP. 20 (FERIA-REP-CAB LA PELADA) Alícuota: 20.00 s/ Comis.Neta</t>
        </is>
      </c>
      <c r="F170" s="11" t="n"/>
      <c r="G170" s="11" t="n">
        <v>240000</v>
      </c>
      <c r="H170" s="12">
        <f>H169+F170-G170</f>
        <v/>
      </c>
    </row>
    <row r="171">
      <c r="A171" s="13" t="n">
        <v>46297</v>
      </c>
      <c r="B171" s="8" t="n">
        <v>46289</v>
      </c>
      <c r="C171" s="9" t="inlineStr">
        <is>
          <t>NOO</t>
        </is>
      </c>
      <c r="D171" s="9" t="inlineStr">
        <is>
          <t>000037483-000</t>
        </is>
      </c>
      <c r="E171" s="10" t="inlineStr">
        <is>
          <t>TRASP SDO A CTA COMIS LCAP 1080-0222 X 1 CAB DON BENJAMIN</t>
        </is>
      </c>
      <c r="F171" s="11" t="n"/>
      <c r="G171" s="11" t="n">
        <v>200000</v>
      </c>
      <c r="H171" s="12">
        <f>H170+F171-G171</f>
        <v/>
      </c>
    </row>
    <row r="172">
      <c r="A172" s="13" t="n">
        <v>46297</v>
      </c>
      <c r="B172" s="8" t="n">
        <v>46289</v>
      </c>
      <c r="C172" s="9" t="inlineStr">
        <is>
          <t>NOO</t>
        </is>
      </c>
      <c r="D172" s="9" t="inlineStr">
        <is>
          <t>000037483-000</t>
        </is>
      </c>
      <c r="E172" s="10" t="inlineStr">
        <is>
          <t>TRASP SDO A CTA COMIS LCAP 1080-0223 X 46 CAB DON BENJAMIN</t>
        </is>
      </c>
      <c r="F172" s="11" t="n"/>
      <c r="G172" s="11" t="n">
        <v>1040000</v>
      </c>
      <c r="H172" s="12">
        <f>H171+F172-G172</f>
        <v/>
      </c>
    </row>
    <row r="173">
      <c r="A173" s="13" t="n">
        <v>46297</v>
      </c>
      <c r="B173" s="8" t="n">
        <v>46289</v>
      </c>
      <c r="C173" s="9" t="inlineStr">
        <is>
          <t>NOO</t>
        </is>
      </c>
      <c r="D173" s="9" t="inlineStr">
        <is>
          <t>000037483-000</t>
        </is>
      </c>
      <c r="E173" s="10" t="inlineStr">
        <is>
          <t>TRASP SDO A CTA COMIS LCAP 1080-0270 X 2 CAB BADANO ELVIRA</t>
        </is>
      </c>
      <c r="F173" s="11" t="n"/>
      <c r="G173" s="11" t="n">
        <v>206400</v>
      </c>
      <c r="H173" s="12">
        <f>H172+F173-G173</f>
        <v/>
      </c>
    </row>
    <row r="174">
      <c r="A174" s="14" t="n">
        <v>46300</v>
      </c>
      <c r="B174" s="14" t="n">
        <v>46265</v>
      </c>
      <c r="C174" s="15" t="inlineStr">
        <is>
          <t>CVA</t>
        </is>
      </c>
      <c r="D174" s="15" t="inlineStr">
        <is>
          <t>1002-00009823</t>
        </is>
      </c>
      <c r="E174" s="16" t="inlineStr">
        <is>
          <t>GALDOS, JUAN GERMAN (31998) - CAB. AP. 100 (TV-INV-HEN) Alícuota: 1.75 s/ Bruto</t>
        </is>
      </c>
      <c r="F174" s="17" t="n"/>
      <c r="G174" s="17" t="n">
        <v>2660787.5</v>
      </c>
      <c r="H174" s="18">
        <f>H173+F174-G174</f>
        <v/>
      </c>
    </row>
    <row r="175">
      <c r="A175" s="13" t="n">
        <v>46300</v>
      </c>
      <c r="B175" s="8" t="n">
        <v>46265</v>
      </c>
      <c r="C175" s="9" t="inlineStr">
        <is>
          <t>CVA</t>
        </is>
      </c>
      <c r="D175" s="9" t="inlineStr">
        <is>
          <t>1002-00009824</t>
        </is>
      </c>
      <c r="E175" s="10" t="inlineStr">
        <is>
          <t>GALDOS, JUAN GERMAN (31998) - CAB. AP. 95 (TV-INV-HEN) Alícuota: 1.75 s/ Bruto</t>
        </is>
      </c>
      <c r="F175" s="11" t="n"/>
      <c r="G175" s="11" t="n">
        <v>2577540</v>
      </c>
      <c r="H175" s="12">
        <f>H174+F175-G175</f>
        <v/>
      </c>
    </row>
    <row r="176">
      <c r="A176" s="14" t="n">
        <v>46301</v>
      </c>
      <c r="B176" s="14" t="n">
        <v>46274</v>
      </c>
      <c r="C176" s="15" t="inlineStr">
        <is>
          <t>CVA</t>
        </is>
      </c>
      <c r="D176" s="15" t="inlineStr">
        <is>
          <t>1002-00010070</t>
        </is>
      </c>
      <c r="E176" s="16" t="inlineStr">
        <is>
          <t>GALDOS, JUAN GERMAN (31998) - CAB. AP. 100 (TV-INV-HEN) Alícuota: 1.50 s/ Bruto</t>
        </is>
      </c>
      <c r="F176" s="17" t="n"/>
      <c r="G176" s="17" t="n">
        <v>2357712.9</v>
      </c>
      <c r="H176" s="18">
        <f>H175+F176-G176</f>
        <v/>
      </c>
    </row>
    <row r="177">
      <c r="A177" s="13" t="n">
        <v>46301</v>
      </c>
      <c r="B177" s="8" t="n">
        <v>46280</v>
      </c>
      <c r="C177" s="9" t="inlineStr">
        <is>
          <t>CVA</t>
        </is>
      </c>
      <c r="D177" s="9" t="inlineStr">
        <is>
          <t>1002-00010114</t>
        </is>
      </c>
      <c r="E177" s="10" t="inlineStr">
        <is>
          <t>GALDOS, JUAN GERMAN (31998) - CAB. AP. 330 (TV-INV-HEN) Alícuota: 1.50 s/ Bruto</t>
        </is>
      </c>
      <c r="F177" s="11" t="n"/>
      <c r="G177" s="11" t="n">
        <v>6921601.8</v>
      </c>
      <c r="H177" s="12">
        <f>H176+F177-G177</f>
        <v/>
      </c>
    </row>
    <row r="178">
      <c r="A178" s="13" t="n">
        <v>46301</v>
      </c>
      <c r="B178" s="8" t="n">
        <v>46287</v>
      </c>
      <c r="C178" s="9" t="inlineStr">
        <is>
          <t>CVA</t>
        </is>
      </c>
      <c r="D178" s="9" t="inlineStr">
        <is>
          <t>1002-00010154</t>
        </is>
      </c>
      <c r="E178" s="10" t="inlineStr">
        <is>
          <t>SGRO, ANA MARIA (44601) - CAB. AP. 13 (PAR-FAE-HEN) Alícuota: 1.50 s/ Bruto</t>
        </is>
      </c>
      <c r="F178" s="11" t="n"/>
      <c r="G178" s="11" t="n">
        <v>404175.64</v>
      </c>
      <c r="H178" s="12">
        <f>H177+F178-G178</f>
        <v/>
      </c>
    </row>
    <row r="179">
      <c r="A179" s="14" t="n">
        <v>46307</v>
      </c>
      <c r="B179" s="14" t="n">
        <v>46276</v>
      </c>
      <c r="C179" s="15" t="inlineStr">
        <is>
          <t>CVA</t>
        </is>
      </c>
      <c r="D179" s="15" t="inlineStr">
        <is>
          <t>1002-00010101</t>
        </is>
      </c>
      <c r="E179" s="16" t="inlineStr">
        <is>
          <t>GALDOS, JUAN GERMAN (31998) - CAB. AP. 109 (TV-INV-HEN) Alícuota: 3.00 s/ Bruto</t>
        </is>
      </c>
      <c r="F179" s="17" t="n"/>
      <c r="G179" s="17" t="n">
        <v>3826638.6</v>
      </c>
      <c r="H179" s="18">
        <f>H178+F179-G179</f>
        <v/>
      </c>
    </row>
    <row r="180">
      <c r="A180" s="13" t="n">
        <v>46307</v>
      </c>
      <c r="B180" s="8" t="n">
        <v>46288</v>
      </c>
      <c r="C180" s="9" t="inlineStr">
        <is>
          <t>ACV</t>
        </is>
      </c>
      <c r="D180" s="9" t="inlineStr">
        <is>
          <t>1080-00000363</t>
        </is>
      </c>
      <c r="E180" s="10" t="inlineStr">
        <is>
          <t>TERRA GARBA S.A.C.A.I.Y F. (22306) - CAB. AP. 1 (FERIA-REP-CAB LA PELADA) Alícuota: 20.00 s/ Comis.Neta</t>
        </is>
      </c>
      <c r="F180" s="11" t="n">
        <v>69000</v>
      </c>
      <c r="G180" s="11" t="n"/>
      <c r="H180" s="12">
        <f>H179+F180-G180</f>
        <v/>
      </c>
    </row>
    <row r="181">
      <c r="A181" s="13" t="n">
        <v>46307</v>
      </c>
      <c r="B181" s="8" t="n">
        <v>46288</v>
      </c>
      <c r="C181" s="9" t="inlineStr">
        <is>
          <t>ACV</t>
        </is>
      </c>
      <c r="D181" s="9" t="inlineStr">
        <is>
          <t>1080-00000365</t>
        </is>
      </c>
      <c r="E181" s="10" t="inlineStr">
        <is>
          <t>TERRA GARBA S.A.C.A.I.Y F. (22306) - CAB. AP. 1 (FERIA-REP-CAB LA PELADA) Alícuota: 20.00 s/ Comis.Neta</t>
        </is>
      </c>
      <c r="F181" s="11" t="n">
        <v>69000</v>
      </c>
      <c r="G181" s="11" t="n"/>
      <c r="H181" s="12">
        <f>H180+F181-G181</f>
        <v/>
      </c>
    </row>
    <row r="182">
      <c r="A182" s="13" t="n">
        <v>46307</v>
      </c>
      <c r="B182" s="8" t="n">
        <v>46288</v>
      </c>
      <c r="C182" s="9" t="inlineStr">
        <is>
          <t>CVA</t>
        </is>
      </c>
      <c r="D182" s="9" t="inlineStr">
        <is>
          <t>1080-00000307</t>
        </is>
      </c>
      <c r="E182" s="10" t="inlineStr">
        <is>
          <t>TERRA GARBA S.A.C.A.I.Y F. (22306) - CAB. AP. 2 (FERIA-REP-CAB LA PELADA) Alícuota: 20.00 s/ Comis.Neta</t>
        </is>
      </c>
      <c r="F182" s="11" t="n"/>
      <c r="G182" s="11" t="n">
        <v>101400</v>
      </c>
      <c r="H182" s="12">
        <f>H181+F182-G182</f>
        <v/>
      </c>
    </row>
    <row r="183">
      <c r="A183" s="13" t="n">
        <v>46307</v>
      </c>
      <c r="B183" s="8" t="n">
        <v>46288</v>
      </c>
      <c r="C183" s="9" t="inlineStr">
        <is>
          <t>CVA</t>
        </is>
      </c>
      <c r="D183" s="9" t="inlineStr">
        <is>
          <t>1080-00000308</t>
        </is>
      </c>
      <c r="E183" s="10" t="inlineStr">
        <is>
          <t>TERRA GARBA S.A.C.A.I.Y F. (22306) - CAB. AP. 1 (FERIA-REP-CAB LA PELADA) Alícuota: 20.00 s/ Comis.Neta</t>
        </is>
      </c>
      <c r="F183" s="11" t="n"/>
      <c r="G183" s="11" t="n">
        <v>54000</v>
      </c>
      <c r="H183" s="12">
        <f>H182+F183-G183</f>
        <v/>
      </c>
    </row>
    <row r="184">
      <c r="A184" s="13" t="n">
        <v>46307</v>
      </c>
      <c r="B184" s="8" t="n">
        <v>46288</v>
      </c>
      <c r="C184" s="9" t="inlineStr">
        <is>
          <t>CVA</t>
        </is>
      </c>
      <c r="D184" s="9" t="inlineStr">
        <is>
          <t>1080-00000309</t>
        </is>
      </c>
      <c r="E184" s="10" t="inlineStr">
        <is>
          <t>TERRA GARBA S.A.C.A.I.Y F. (22306) - CAB. AP. 20</t>
        </is>
      </c>
      <c r="F184" s="11" t="n"/>
      <c r="G184" s="11" t="n">
        <v>264000</v>
      </c>
      <c r="H184" s="12">
        <f>H183+F184-G184</f>
        <v/>
      </c>
    </row>
    <row r="185">
      <c r="A185" s="13" t="n">
        <v>46307</v>
      </c>
      <c r="B185" s="8" t="n">
        <v>46288</v>
      </c>
      <c r="C185" s="9" t="inlineStr">
        <is>
          <t>CVA</t>
        </is>
      </c>
      <c r="D185" s="9" t="inlineStr">
        <is>
          <t>1080-00000310</t>
        </is>
      </c>
      <c r="E185" s="10" t="inlineStr">
        <is>
          <t>TERRA GARBA S.A.C.A.I.Y F. (22306) - CAB. AP. 27 (FERIA-REP-CAB LA PELADA) Alícuota: 20.00 s/ Comis.Neta</t>
        </is>
      </c>
      <c r="F185" s="11" t="n"/>
      <c r="G185" s="11" t="n">
        <v>575400</v>
      </c>
      <c r="H185" s="12">
        <f>H184+F185-G185</f>
        <v/>
      </c>
    </row>
    <row r="186">
      <c r="A186" s="13" t="n">
        <v>46307</v>
      </c>
      <c r="B186" s="8" t="n">
        <v>46288</v>
      </c>
      <c r="C186" s="9" t="inlineStr">
        <is>
          <t>CVA</t>
        </is>
      </c>
      <c r="D186" s="9" t="inlineStr">
        <is>
          <t>1080-00000311</t>
        </is>
      </c>
      <c r="E186" s="10" t="inlineStr">
        <is>
          <t>TERRA GARBA S.A.C.A.I.Y F. (22306) - CAB. AP. 24 (FERIA-REP-CAB LA PELADA) Alícuota: 20.00 s/ Comis.Neta</t>
        </is>
      </c>
      <c r="F186" s="11" t="n"/>
      <c r="G186" s="11" t="n">
        <v>518400</v>
      </c>
      <c r="H186" s="12">
        <f>H185+F186-G186</f>
        <v/>
      </c>
    </row>
    <row r="187">
      <c r="A187" s="13" t="n">
        <v>46307</v>
      </c>
      <c r="B187" s="8" t="n">
        <v>46288</v>
      </c>
      <c r="C187" s="9" t="inlineStr">
        <is>
          <t>CVA</t>
        </is>
      </c>
      <c r="D187" s="9" t="inlineStr">
        <is>
          <t>1080-00000312</t>
        </is>
      </c>
      <c r="E187" s="10" t="inlineStr">
        <is>
          <t>TERRA GARBA S.A.C.A.I.Y F. (22306) - CAB. AP. 26 (FERIA-REP-CAB LA PELADA) Alícuota: 20.00 s/ Comis.Neta</t>
        </is>
      </c>
      <c r="F187" s="11" t="n"/>
      <c r="G187" s="11" t="n">
        <v>421200</v>
      </c>
      <c r="H187" s="12">
        <f>H186+F187-G187</f>
        <v/>
      </c>
    </row>
    <row r="188">
      <c r="A188" s="13" t="n">
        <v>46307</v>
      </c>
      <c r="B188" s="8" t="n">
        <v>46288</v>
      </c>
      <c r="C188" s="9" t="inlineStr">
        <is>
          <t>CVA</t>
        </is>
      </c>
      <c r="D188" s="9" t="inlineStr">
        <is>
          <t>1080-00000313</t>
        </is>
      </c>
      <c r="E188" s="10" t="inlineStr">
        <is>
          <t>TERRA GARBA S.A.C.A.I.Y F. (22306) - CAB. AP. 78 (FERIA-REP-CAB LA PELADA) Alícuota: 20.00 s/ Comis.Neta</t>
        </is>
      </c>
      <c r="F188" s="11" t="n"/>
      <c r="G188" s="11" t="n">
        <v>1374000</v>
      </c>
      <c r="H188" s="12">
        <f>H187+F188-G188</f>
        <v/>
      </c>
    </row>
    <row r="189">
      <c r="A189" s="13" t="n">
        <v>46307</v>
      </c>
      <c r="B189" s="8" t="n">
        <v>46288</v>
      </c>
      <c r="C189" s="9" t="inlineStr">
        <is>
          <t>CVA</t>
        </is>
      </c>
      <c r="D189" s="9" t="inlineStr">
        <is>
          <t>1080-00000314</t>
        </is>
      </c>
      <c r="E189" s="10" t="inlineStr">
        <is>
          <t>TERRA GARBA S.A.C.A.I.Y F. (22306) - CAB. AP. 18 (FERIA-REP-CAB LA PELADA) Alícuota: 20.00 s/ Comis.Neta</t>
        </is>
      </c>
      <c r="F189" s="11" t="n"/>
      <c r="G189" s="11" t="n">
        <v>248400</v>
      </c>
      <c r="H189" s="12">
        <f>H188+F189-G189</f>
        <v/>
      </c>
    </row>
    <row r="190">
      <c r="A190" s="13" t="n">
        <v>46307</v>
      </c>
      <c r="B190" s="8" t="n">
        <v>46288</v>
      </c>
      <c r="C190" s="9" t="inlineStr">
        <is>
          <t>CVA</t>
        </is>
      </c>
      <c r="D190" s="9" t="inlineStr">
        <is>
          <t>1080-00000315</t>
        </is>
      </c>
      <c r="E190" s="10" t="inlineStr">
        <is>
          <t>TERRA GARBA S.A.C.A.I.Y F. (22306) - CAB. AP. 18 (FERIA-REP-CAB LA PELADA) Alícuota: 20.00 s/ Comis.Neta</t>
        </is>
      </c>
      <c r="F190" s="11" t="n"/>
      <c r="G190" s="11" t="n">
        <v>237600</v>
      </c>
      <c r="H190" s="12">
        <f>H189+F190-G190</f>
        <v/>
      </c>
    </row>
    <row r="191">
      <c r="A191" s="13" t="n">
        <v>46307</v>
      </c>
      <c r="B191" s="8" t="n">
        <v>46288</v>
      </c>
      <c r="C191" s="9" t="inlineStr">
        <is>
          <t>CVA</t>
        </is>
      </c>
      <c r="D191" s="9" t="inlineStr">
        <is>
          <t>1080-00000316</t>
        </is>
      </c>
      <c r="E191" s="10" t="inlineStr">
        <is>
          <t>TERRA GARBA S.A.C.A.I.Y F. (22306) - CAB. AP. 22 (FERIA-REP-CAB LA PELADA) Alícuota: 20.00 s/ Comis.Neta</t>
        </is>
      </c>
      <c r="F191" s="11" t="n"/>
      <c r="G191" s="11" t="n">
        <v>290400</v>
      </c>
      <c r="H191" s="12">
        <f>H190+F191-G191</f>
        <v/>
      </c>
    </row>
    <row r="192">
      <c r="A192" s="13" t="n">
        <v>46307</v>
      </c>
      <c r="B192" s="8" t="n">
        <v>46288</v>
      </c>
      <c r="C192" s="9" t="inlineStr">
        <is>
          <t>CVA</t>
        </is>
      </c>
      <c r="D192" s="9" t="inlineStr">
        <is>
          <t>1080-00000317</t>
        </is>
      </c>
      <c r="E192" s="10" t="inlineStr">
        <is>
          <t>TERRA GARBA S.A.C.A.I.Y F. (22306) - CAB. AP. 28 (FERIA-REP-CAB LA PELADA) Alícuota: 20.00 s/ Comis.Neta</t>
        </is>
      </c>
      <c r="F192" s="11" t="n"/>
      <c r="G192" s="11" t="n">
        <v>453600</v>
      </c>
      <c r="H192" s="12">
        <f>H191+F192-G192</f>
        <v/>
      </c>
    </row>
    <row r="193">
      <c r="A193" s="13" t="n">
        <v>46307</v>
      </c>
      <c r="B193" s="8" t="n">
        <v>46288</v>
      </c>
      <c r="C193" s="9" t="inlineStr">
        <is>
          <t>CVA</t>
        </is>
      </c>
      <c r="D193" s="9" t="inlineStr">
        <is>
          <t>1080-00000318</t>
        </is>
      </c>
      <c r="E193" s="10" t="inlineStr">
        <is>
          <t>TERRA GARBA S.A.C.A.I.Y F. (22306) - CAB. AP. 22 (FERIA-REP-CAB LA PELADA) Alícuota: 20.00 s/ Comis.Neta</t>
        </is>
      </c>
      <c r="F193" s="11" t="n"/>
      <c r="G193" s="11" t="n">
        <v>316800</v>
      </c>
      <c r="H193" s="12">
        <f>H192+F193-G193</f>
        <v/>
      </c>
    </row>
    <row r="194">
      <c r="A194" s="13" t="n">
        <v>46307</v>
      </c>
      <c r="B194" s="8" t="n">
        <v>46288</v>
      </c>
      <c r="C194" s="9" t="inlineStr">
        <is>
          <t>CVA</t>
        </is>
      </c>
      <c r="D194" s="9" t="inlineStr">
        <is>
          <t>1080-00000319</t>
        </is>
      </c>
      <c r="E194" s="10" t="inlineStr">
        <is>
          <t>TERRA GARBA S.A.C.A.I.Y F. (22306) - CAB. AP. 22 (FERIA-REP-CAB LA PELADA) Alícuota: 20.00 s/ Comis.Neta</t>
        </is>
      </c>
      <c r="F194" s="11" t="n"/>
      <c r="G194" s="11" t="n">
        <v>316800</v>
      </c>
      <c r="H194" s="12">
        <f>H193+F194-G194</f>
        <v/>
      </c>
    </row>
    <row r="195">
      <c r="A195" s="13" t="n">
        <v>46307</v>
      </c>
      <c r="B195" s="8" t="n">
        <v>46288</v>
      </c>
      <c r="C195" s="9" t="inlineStr">
        <is>
          <t>CVA</t>
        </is>
      </c>
      <c r="D195" s="9" t="inlineStr">
        <is>
          <t>1080-00000320</t>
        </is>
      </c>
      <c r="E195" s="10" t="inlineStr">
        <is>
          <t>TERRA GARBA S.A.C.A.I.Y F. (22306) - CAB. AP. 1 (FERIA-REP-CAB LA PELADA) Alícuota: 20.00 s/ Comis.Neta</t>
        </is>
      </c>
      <c r="F195" s="11" t="n"/>
      <c r="G195" s="11" t="n">
        <v>70200</v>
      </c>
      <c r="H195" s="12">
        <f>H194+F195-G195</f>
        <v/>
      </c>
    </row>
    <row r="196">
      <c r="A196" s="13" t="n">
        <v>46307</v>
      </c>
      <c r="B196" s="8" t="n">
        <v>46288</v>
      </c>
      <c r="C196" s="9" t="inlineStr">
        <is>
          <t>CVA</t>
        </is>
      </c>
      <c r="D196" s="9" t="inlineStr">
        <is>
          <t>1080-00000321</t>
        </is>
      </c>
      <c r="E196" s="10" t="inlineStr">
        <is>
          <t>TERRA GARBA S.A.C.A.I.Y F. (22306) - CAB. AP. 27 (FERIA-REP-CAB LA PELADA) Alícuota: 20.00 s/ Comis.Neta</t>
        </is>
      </c>
      <c r="F196" s="11" t="n"/>
      <c r="G196" s="11" t="n">
        <v>444000</v>
      </c>
      <c r="H196" s="12">
        <f>H195+F196-G196</f>
        <v/>
      </c>
    </row>
    <row r="197">
      <c r="A197" s="13" t="n">
        <v>46307</v>
      </c>
      <c r="B197" s="8" t="n">
        <v>46288</v>
      </c>
      <c r="C197" s="9" t="inlineStr">
        <is>
          <t>CVA</t>
        </is>
      </c>
      <c r="D197" s="9" t="inlineStr">
        <is>
          <t>1080-00000322</t>
        </is>
      </c>
      <c r="E197" s="10" t="inlineStr">
        <is>
          <t>TERRA GARBA S.A.C.A.I.Y F. (22306) - CAB. AP. 2 (FERIA-REP-CAB LA PELADA) Alícuota: 20.00 s/ Comis.Neta</t>
        </is>
      </c>
      <c r="F197" s="11" t="n"/>
      <c r="G197" s="11" t="n">
        <v>123000</v>
      </c>
      <c r="H197" s="12">
        <f>H196+F197-G197</f>
        <v/>
      </c>
    </row>
    <row r="198">
      <c r="A198" s="13" t="n">
        <v>46307</v>
      </c>
      <c r="B198" s="8" t="n">
        <v>46288</v>
      </c>
      <c r="C198" s="9" t="inlineStr">
        <is>
          <t>CVA</t>
        </is>
      </c>
      <c r="D198" s="9" t="inlineStr">
        <is>
          <t>1080-00000323</t>
        </is>
      </c>
      <c r="E198" s="10" t="inlineStr">
        <is>
          <t>TERRA GARBA S.A.C.A.I.Y F. (22306) - CAB. AP. 2 (FERIA-REP-CAB LA PELADA) Alícuota: 20.00 s/ Comis.Neta</t>
        </is>
      </c>
      <c r="F198" s="11" t="n"/>
      <c r="G198" s="11" t="n">
        <v>111000</v>
      </c>
      <c r="H198" s="12">
        <f>H197+F198-G198</f>
        <v/>
      </c>
    </row>
    <row r="199">
      <c r="A199" s="13" t="n">
        <v>46307</v>
      </c>
      <c r="B199" s="8" t="n">
        <v>46288</v>
      </c>
      <c r="C199" s="9" t="inlineStr">
        <is>
          <t>CVA</t>
        </is>
      </c>
      <c r="D199" s="9" t="inlineStr">
        <is>
          <t>1080-00000324</t>
        </is>
      </c>
      <c r="E199" s="10" t="inlineStr">
        <is>
          <t>TERRA GARBA S.A.C.A.I.Y F. (22306) - CAB. AP. 22 (FERIA-REP-CAB LA PELADA) Alícuota: 20.00 s/ Comis.Neta</t>
        </is>
      </c>
      <c r="F199" s="11" t="n"/>
      <c r="G199" s="11" t="n">
        <v>316800</v>
      </c>
      <c r="H199" s="12">
        <f>H198+F199-G199</f>
        <v/>
      </c>
    </row>
    <row r="200">
      <c r="A200" s="13" t="n">
        <v>46307</v>
      </c>
      <c r="B200" s="8" t="n">
        <v>46288</v>
      </c>
      <c r="C200" s="9" t="inlineStr">
        <is>
          <t>CVA</t>
        </is>
      </c>
      <c r="D200" s="9" t="inlineStr">
        <is>
          <t>1080-00000325</t>
        </is>
      </c>
      <c r="E200" s="10" t="inlineStr">
        <is>
          <t>TERRA GARBA S.A.C.A.I.Y F. (22306) - CAB. AP. 1 (FERIA-REP-CAB LA PELADA) Alícuota: 20.00 s/ Comis.Neta</t>
        </is>
      </c>
      <c r="F200" s="11" t="n"/>
      <c r="G200" s="11" t="n">
        <v>58200</v>
      </c>
      <c r="H200" s="12">
        <f>H199+F200-G200</f>
        <v/>
      </c>
    </row>
    <row r="201">
      <c r="A201" s="13" t="n">
        <v>46307</v>
      </c>
      <c r="B201" s="8" t="n">
        <v>46288</v>
      </c>
      <c r="C201" s="9" t="inlineStr">
        <is>
          <t>CVA</t>
        </is>
      </c>
      <c r="D201" s="9" t="inlineStr">
        <is>
          <t>1080-00000326</t>
        </is>
      </c>
      <c r="E201" s="10" t="inlineStr">
        <is>
          <t>TERRA GARBA S.A.C.A.I.Y F. (22306) - CAB. AP. 1 (FERIA-REP-CAB LA PELADA) Alícuota: 20.00 s/ Comis.Neta</t>
        </is>
      </c>
      <c r="F201" s="11" t="n"/>
      <c r="G201" s="11" t="n">
        <v>63000</v>
      </c>
      <c r="H201" s="12">
        <f>H200+F201-G201</f>
        <v/>
      </c>
    </row>
    <row r="202">
      <c r="A202" s="13" t="n">
        <v>46307</v>
      </c>
      <c r="B202" s="8" t="n">
        <v>46288</v>
      </c>
      <c r="C202" s="9" t="inlineStr">
        <is>
          <t>CVA</t>
        </is>
      </c>
      <c r="D202" s="9" t="inlineStr">
        <is>
          <t>1080-00000327</t>
        </is>
      </c>
      <c r="E202" s="10" t="inlineStr">
        <is>
          <t>TERRA GARBA S.A.C.A.I.Y F. (22306) - CAB. AP. 1 (FERIA-REP-CAB LA PELADA) Alícuota: 20.00 s/ Comis.Neta</t>
        </is>
      </c>
      <c r="F202" s="11" t="n"/>
      <c r="G202" s="11" t="n">
        <v>57000</v>
      </c>
      <c r="H202" s="12">
        <f>H201+F202-G202</f>
        <v/>
      </c>
    </row>
    <row r="203">
      <c r="A203" s="13" t="n">
        <v>46307</v>
      </c>
      <c r="B203" s="8" t="n">
        <v>46288</v>
      </c>
      <c r="C203" s="9" t="inlineStr">
        <is>
          <t>CVA</t>
        </is>
      </c>
      <c r="D203" s="9" t="inlineStr">
        <is>
          <t>1080-00000328</t>
        </is>
      </c>
      <c r="E203" s="10" t="inlineStr">
        <is>
          <t>TERRA GARBA S.A.C.A.I.Y F. (22306) - CAB. AP. 1 (FERIA-REP-CAB LA PELADA) Alícuota: 20.00 s/ Comis.Neta</t>
        </is>
      </c>
      <c r="F203" s="11" t="n"/>
      <c r="G203" s="11" t="n">
        <v>58200</v>
      </c>
      <c r="H203" s="12">
        <f>H202+F203-G203</f>
        <v/>
      </c>
    </row>
    <row r="204">
      <c r="A204" s="13" t="n">
        <v>46307</v>
      </c>
      <c r="B204" s="8" t="n">
        <v>46288</v>
      </c>
      <c r="C204" s="9" t="inlineStr">
        <is>
          <t>CVA</t>
        </is>
      </c>
      <c r="D204" s="9" t="inlineStr">
        <is>
          <t>1080-00000329</t>
        </is>
      </c>
      <c r="E204" s="10" t="inlineStr">
        <is>
          <t>TERRA GARBA S.A.C.A.I.Y F. (22306) - CAB. AP. 2</t>
        </is>
      </c>
      <c r="F204" s="11" t="n"/>
      <c r="G204" s="11" t="n">
        <v>104400</v>
      </c>
      <c r="H204" s="12">
        <f>H203+F204-G204</f>
        <v/>
      </c>
    </row>
    <row r="205">
      <c r="A205" s="13" t="n">
        <v>46307</v>
      </c>
      <c r="B205" s="8" t="n">
        <v>46288</v>
      </c>
      <c r="C205" s="9" t="inlineStr">
        <is>
          <t>CVA</t>
        </is>
      </c>
      <c r="D205" s="9" t="inlineStr">
        <is>
          <t>1080-00000330</t>
        </is>
      </c>
      <c r="E205" s="10" t="inlineStr">
        <is>
          <t>TERRA GARBA S.A.C.A.I.Y F. (22306) - CAB. AP. 1 (FERIA-REP-CAB LA PELADA) Alícuota: 20.00 s/ Comis.Neta</t>
        </is>
      </c>
      <c r="F205" s="11" t="n"/>
      <c r="G205" s="11" t="n">
        <v>48000</v>
      </c>
      <c r="H205" s="12">
        <f>H204+F205-G205</f>
        <v/>
      </c>
    </row>
    <row r="206">
      <c r="A206" s="13" t="n">
        <v>46307</v>
      </c>
      <c r="B206" s="8" t="n">
        <v>46288</v>
      </c>
      <c r="C206" s="9" t="inlineStr">
        <is>
          <t>CVA</t>
        </is>
      </c>
      <c r="D206" s="9" t="inlineStr">
        <is>
          <t>1080-00000331</t>
        </is>
      </c>
      <c r="E206" s="10" t="inlineStr">
        <is>
          <t>TERRA GARBA S.A.C.A.I.Y F. (22306) - CAB. AP. 7 (FERIA-REP-CAB LA PELADA) Alícuota: 20.00 s/ Comis.Neta</t>
        </is>
      </c>
      <c r="F206" s="11" t="n"/>
      <c r="G206" s="11" t="n">
        <v>336000</v>
      </c>
      <c r="H206" s="12">
        <f>H205+F206-G206</f>
        <v/>
      </c>
    </row>
    <row r="207">
      <c r="A207" s="13" t="n">
        <v>46307</v>
      </c>
      <c r="B207" s="8" t="n">
        <v>46288</v>
      </c>
      <c r="C207" s="9" t="inlineStr">
        <is>
          <t>CVA</t>
        </is>
      </c>
      <c r="D207" s="9" t="inlineStr">
        <is>
          <t>1080-00000332</t>
        </is>
      </c>
      <c r="E207" s="10" t="inlineStr">
        <is>
          <t>TERRA GARBA S.A.C.A.I.Y F. (22306) - CAB. AP. 1 (FERIA-REP-CAB LA PELADA) Alícuota: 20.00 s/ Comis.Neta</t>
        </is>
      </c>
      <c r="F207" s="11" t="n"/>
      <c r="G207" s="11" t="n">
        <v>60000</v>
      </c>
      <c r="H207" s="12">
        <f>H206+F207-G207</f>
        <v/>
      </c>
    </row>
    <row r="208">
      <c r="A208" s="13" t="n">
        <v>46307</v>
      </c>
      <c r="B208" s="8" t="n">
        <v>46288</v>
      </c>
      <c r="C208" s="9" t="inlineStr">
        <is>
          <t>CVA</t>
        </is>
      </c>
      <c r="D208" s="9" t="inlineStr">
        <is>
          <t>1080-00000333</t>
        </is>
      </c>
      <c r="E208" s="10" t="inlineStr">
        <is>
          <t>TERRA GARBA S.A.C.A.I.Y F. (22306) - CAB. AP. 1 (FERIA-REP-CAB LA PELADA) Alícuota: 20.00 s/ Comis.Neta</t>
        </is>
      </c>
      <c r="F208" s="11" t="n"/>
      <c r="G208" s="11" t="n">
        <v>52200</v>
      </c>
      <c r="H208" s="12">
        <f>H207+F208-G208</f>
        <v/>
      </c>
    </row>
    <row r="209">
      <c r="A209" s="13" t="n">
        <v>46307</v>
      </c>
      <c r="B209" s="8" t="n">
        <v>46288</v>
      </c>
      <c r="C209" s="9" t="inlineStr">
        <is>
          <t>CVA</t>
        </is>
      </c>
      <c r="D209" s="9" t="inlineStr">
        <is>
          <t>1080-00000334</t>
        </is>
      </c>
      <c r="E209" s="10" t="inlineStr">
        <is>
          <t>TERRA GARBA S.A.C.A.I.Y F. (22306) - CAB. AP. 1 (FERIA-REP-CAB LA PELADA) Alícuota: 20.00 s/ Comis.Neta</t>
        </is>
      </c>
      <c r="F209" s="11" t="n"/>
      <c r="G209" s="11" t="n">
        <v>51000</v>
      </c>
      <c r="H209" s="12">
        <f>H208+F209-G209</f>
        <v/>
      </c>
    </row>
    <row r="210">
      <c r="A210" s="13" t="n">
        <v>46307</v>
      </c>
      <c r="B210" s="8" t="n">
        <v>46288</v>
      </c>
      <c r="C210" s="9" t="inlineStr">
        <is>
          <t>CVA</t>
        </is>
      </c>
      <c r="D210" s="9" t="inlineStr">
        <is>
          <t>1080-00000335</t>
        </is>
      </c>
      <c r="E210" s="10" t="inlineStr">
        <is>
          <t>TERRA GARBA S.A.C.A.I.Y F. (22306) - CAB. AP. 1 (FERIA-REP-CAB LA PELADA) Alícuota: 20.00 s/ Comis.Neta</t>
        </is>
      </c>
      <c r="F210" s="11" t="n"/>
      <c r="G210" s="11" t="n">
        <v>40200</v>
      </c>
      <c r="H210" s="12">
        <f>H209+F210-G210</f>
        <v/>
      </c>
    </row>
    <row r="211">
      <c r="A211" s="13" t="n">
        <v>46307</v>
      </c>
      <c r="B211" s="8" t="n">
        <v>46288</v>
      </c>
      <c r="C211" s="9" t="inlineStr">
        <is>
          <t>CVA</t>
        </is>
      </c>
      <c r="D211" s="9" t="inlineStr">
        <is>
          <t>1080-00000336</t>
        </is>
      </c>
      <c r="E211" s="10" t="inlineStr">
        <is>
          <t>TERRA GARBA S.A.C.A.I.Y F. (22306) - CAB. AP. 1 (FERIA-REP-CAB LA PELADA) Alícuota: 20.00 s/ Comis.Neta</t>
        </is>
      </c>
      <c r="F211" s="11" t="n"/>
      <c r="G211" s="11" t="n">
        <v>66000</v>
      </c>
      <c r="H211" s="12">
        <f>H210+F211-G211</f>
        <v/>
      </c>
    </row>
    <row r="212">
      <c r="A212" s="13" t="n">
        <v>46307</v>
      </c>
      <c r="B212" s="8" t="n">
        <v>46288</v>
      </c>
      <c r="C212" s="9" t="inlineStr">
        <is>
          <t>CVA</t>
        </is>
      </c>
      <c r="D212" s="9" t="inlineStr">
        <is>
          <t>1080-00000337</t>
        </is>
      </c>
      <c r="E212" s="10" t="inlineStr">
        <is>
          <t>TERRA GARBA S.A.C.A.I.Y F. (22306) - CAB. AP. 1 (FERIA-REP-CAB LA PELADA) Alícuota: 20.00 s/ Comis.Neta</t>
        </is>
      </c>
      <c r="F212" s="11" t="n"/>
      <c r="G212" s="11" t="n">
        <v>49200</v>
      </c>
      <c r="H212" s="12">
        <f>H211+F212-G212</f>
        <v/>
      </c>
    </row>
    <row r="213">
      <c r="A213" s="13" t="n">
        <v>46307</v>
      </c>
      <c r="B213" s="8" t="n">
        <v>46288</v>
      </c>
      <c r="C213" s="9" t="inlineStr">
        <is>
          <t>CVA</t>
        </is>
      </c>
      <c r="D213" s="9" t="inlineStr">
        <is>
          <t>1080-00000338</t>
        </is>
      </c>
      <c r="E213" s="10" t="inlineStr">
        <is>
          <t>TERRA GARBA S.A.C.A.I.Y F. (22306) - CAB. AP. 2 (FERIA-REP-CAB LA PELADA) Alícuota: 20.00 s/ Comis.Neta</t>
        </is>
      </c>
      <c r="F213" s="11" t="n"/>
      <c r="G213" s="11" t="n">
        <v>84000</v>
      </c>
      <c r="H213" s="12">
        <f>H212+F213-G213</f>
        <v/>
      </c>
    </row>
    <row r="214">
      <c r="A214" s="13" t="n">
        <v>46307</v>
      </c>
      <c r="B214" s="8" t="n">
        <v>46288</v>
      </c>
      <c r="C214" s="9" t="inlineStr">
        <is>
          <t>CVA</t>
        </is>
      </c>
      <c r="D214" s="9" t="inlineStr">
        <is>
          <t>1080-00000339</t>
        </is>
      </c>
      <c r="E214" s="10" t="inlineStr">
        <is>
          <t>TERRA GARBA S.A.C.A.I.Y F. (22306) - CAB. AP. 1 (FERIA-REP-CAB LA PELADA) Alícuota: 20.00 s/ Comis.Neta</t>
        </is>
      </c>
      <c r="F214" s="11" t="n"/>
      <c r="G214" s="11" t="n">
        <v>69000</v>
      </c>
      <c r="H214" s="12">
        <f>H213+F214-G214</f>
        <v/>
      </c>
    </row>
    <row r="215">
      <c r="A215" s="13" t="n">
        <v>46307</v>
      </c>
      <c r="B215" s="8" t="n">
        <v>46288</v>
      </c>
      <c r="C215" s="9" t="inlineStr">
        <is>
          <t>CVA</t>
        </is>
      </c>
      <c r="D215" s="9" t="inlineStr">
        <is>
          <t>1080-00000340</t>
        </is>
      </c>
      <c r="E215" s="10" t="inlineStr">
        <is>
          <t>TERRA GARBA S.A.C.A.I.Y F. (22306) - CAB. AP. 2 (FERIA-REP-CAB LA PELADA) Alícuota: 20.00 s/ Comis.Neta</t>
        </is>
      </c>
      <c r="F215" s="11" t="n"/>
      <c r="G215" s="11" t="n">
        <v>103200</v>
      </c>
      <c r="H215" s="12">
        <f>H214+F215-G215</f>
        <v/>
      </c>
    </row>
    <row r="216">
      <c r="A216" s="13" t="n">
        <v>46307</v>
      </c>
      <c r="B216" s="8" t="n">
        <v>46288</v>
      </c>
      <c r="C216" s="9" t="inlineStr">
        <is>
          <t>CVA</t>
        </is>
      </c>
      <c r="D216" s="9" t="inlineStr">
        <is>
          <t>1080-00000341</t>
        </is>
      </c>
      <c r="E216" s="10" t="inlineStr">
        <is>
          <t>TERRA GARBA S.A.C.A.I.Y F. (22306) - CAB. AP. 2 (FERIA-REP-CAB LA PELADA) Alícuota: 20.00 s/ Comis.Neta</t>
        </is>
      </c>
      <c r="F216" s="11" t="n"/>
      <c r="G216" s="11" t="n">
        <v>110400</v>
      </c>
      <c r="H216" s="12">
        <f>H215+F216-G216</f>
        <v/>
      </c>
    </row>
    <row r="217">
      <c r="A217" s="13" t="n">
        <v>46307</v>
      </c>
      <c r="B217" s="8" t="n">
        <v>46288</v>
      </c>
      <c r="C217" s="9" t="inlineStr">
        <is>
          <t>CVA</t>
        </is>
      </c>
      <c r="D217" s="9" t="inlineStr">
        <is>
          <t>1080-00000342</t>
        </is>
      </c>
      <c r="E217" s="10" t="inlineStr">
        <is>
          <t>TERRA GARBA S.A.C.A.I.Y F. (22306) - CAB. AP. 1 (FERIA-REP-CAB LA PELADA) Alícuota: 20.00 s/ Comis.Neta</t>
        </is>
      </c>
      <c r="F217" s="11" t="n"/>
      <c r="G217" s="11" t="n">
        <v>78000</v>
      </c>
      <c r="H217" s="12">
        <f>H216+F217-G217</f>
        <v/>
      </c>
    </row>
    <row r="218">
      <c r="A218" s="13" t="n">
        <v>46307</v>
      </c>
      <c r="B218" s="8" t="n">
        <v>46288</v>
      </c>
      <c r="C218" s="9" t="inlineStr">
        <is>
          <t>CVA</t>
        </is>
      </c>
      <c r="D218" s="9" t="inlineStr">
        <is>
          <t>1080-00000343</t>
        </is>
      </c>
      <c r="E218" s="10" t="inlineStr">
        <is>
          <t>TERRA GARBA S.A.C.A.I.Y F. (22306) - CAB. AP. 1 (FERIA-REP-CAB LA PELADA) Alícuota: 20.00 s/ Comis.Neta</t>
        </is>
      </c>
      <c r="F218" s="11" t="n"/>
      <c r="G218" s="11" t="n">
        <v>66000</v>
      </c>
      <c r="H218" s="12">
        <f>H217+F218-G218</f>
        <v/>
      </c>
    </row>
    <row r="219">
      <c r="A219" s="13" t="n">
        <v>46307</v>
      </c>
      <c r="B219" s="8" t="n">
        <v>46288</v>
      </c>
      <c r="C219" s="9" t="inlineStr">
        <is>
          <t>CVA</t>
        </is>
      </c>
      <c r="D219" s="9" t="inlineStr">
        <is>
          <t>1080-00000344</t>
        </is>
      </c>
      <c r="E219" s="10" t="inlineStr">
        <is>
          <t>TERRA GARBA S.A.C.A.I.Y F. (22306) - CAB. AP. 4 (FERIA-REP-CAB LA PELADA) Alícuota: 20.00 s/ Comis.Neta</t>
        </is>
      </c>
      <c r="F219" s="11" t="n"/>
      <c r="G219" s="11" t="n">
        <v>232200</v>
      </c>
      <c r="H219" s="12">
        <f>H218+F219-G219</f>
        <v/>
      </c>
    </row>
    <row r="220">
      <c r="A220" s="13" t="n">
        <v>46307</v>
      </c>
      <c r="B220" s="8" t="n">
        <v>46288</v>
      </c>
      <c r="C220" s="9" t="inlineStr">
        <is>
          <t>CVA</t>
        </is>
      </c>
      <c r="D220" s="9" t="inlineStr">
        <is>
          <t>1080-00000345</t>
        </is>
      </c>
      <c r="E220" s="10" t="inlineStr">
        <is>
          <t>TERRA GARBA S.A.C.A.I.Y F. (22306) - CAB. AP. 28 (FERIA-REP-CAB LA PELADA) Alícuota: 20.00 s/ Comis.Neta</t>
        </is>
      </c>
      <c r="F220" s="11" t="n"/>
      <c r="G220" s="11" t="n">
        <v>436800</v>
      </c>
      <c r="H220" s="12">
        <f>H219+F220-G220</f>
        <v/>
      </c>
    </row>
    <row r="221">
      <c r="A221" s="13" t="n">
        <v>46307</v>
      </c>
      <c r="B221" s="8" t="n">
        <v>46288</v>
      </c>
      <c r="C221" s="9" t="inlineStr">
        <is>
          <t>CVA</t>
        </is>
      </c>
      <c r="D221" s="9" t="inlineStr">
        <is>
          <t>1080-00000346</t>
        </is>
      </c>
      <c r="E221" s="10" t="inlineStr">
        <is>
          <t>TERRA GARBA S.A.C.A.I.Y F. (22306) - CAB. AP. 2 (FERIA-REP-CAB LA PELADA) Alícuota: 20.00 s/ Comis.Neta</t>
        </is>
      </c>
      <c r="F221" s="11" t="n"/>
      <c r="G221" s="11" t="n">
        <v>156000</v>
      </c>
      <c r="H221" s="12">
        <f>H220+F221-G221</f>
        <v/>
      </c>
    </row>
    <row r="222">
      <c r="A222" s="13" t="n">
        <v>46307</v>
      </c>
      <c r="B222" s="8" t="n">
        <v>46288</v>
      </c>
      <c r="C222" s="9" t="inlineStr">
        <is>
          <t>CVA</t>
        </is>
      </c>
      <c r="D222" s="9" t="inlineStr">
        <is>
          <t>1080-00000347</t>
        </is>
      </c>
      <c r="E222" s="10" t="inlineStr">
        <is>
          <t>TERRA GARBA S.A.C.A.I.Y F. (22306) - CAB. AP. 1 (FERIA-REP-CAB LA PELADA) Alícuota: 20.00 s/ Comis.Neta</t>
        </is>
      </c>
      <c r="F222" s="11" t="n"/>
      <c r="G222" s="11" t="n">
        <v>183000</v>
      </c>
      <c r="H222" s="12">
        <f>H221+F222-G222</f>
        <v/>
      </c>
    </row>
    <row r="223">
      <c r="A223" s="13" t="n">
        <v>46307</v>
      </c>
      <c r="B223" s="8" t="n">
        <v>46288</v>
      </c>
      <c r="C223" s="9" t="inlineStr">
        <is>
          <t>CVA</t>
        </is>
      </c>
      <c r="D223" s="9" t="inlineStr">
        <is>
          <t>1080-00000348</t>
        </is>
      </c>
      <c r="E223" s="10" t="inlineStr">
        <is>
          <t>TERRA GARBA S.A.C.A.I.Y F. (22306) - CAB. AP. 1 (FERIA-REP-CAB LA PELADA) Alícuota: 20.00 s/ Comis.Neta</t>
        </is>
      </c>
      <c r="F223" s="11" t="n"/>
      <c r="G223" s="11" t="n">
        <v>132000</v>
      </c>
      <c r="H223" s="12">
        <f>H222+F223-G223</f>
        <v/>
      </c>
    </row>
    <row r="224">
      <c r="A224" s="13" t="n">
        <v>46307</v>
      </c>
      <c r="B224" s="8" t="n">
        <v>46288</v>
      </c>
      <c r="C224" s="9" t="inlineStr">
        <is>
          <t>CVA</t>
        </is>
      </c>
      <c r="D224" s="9" t="inlineStr">
        <is>
          <t>1080-00000349</t>
        </is>
      </c>
      <c r="E224" s="10" t="inlineStr">
        <is>
          <t>TERRA GARBA S.A.C.A.I.Y F. (22306) - CAB. AP. 1</t>
        </is>
      </c>
      <c r="F224" s="11" t="n"/>
      <c r="G224" s="11" t="n">
        <v>102000</v>
      </c>
      <c r="H224" s="12">
        <f>H223+F224-G224</f>
        <v/>
      </c>
    </row>
    <row r="225">
      <c r="A225" s="13" t="n">
        <v>46307</v>
      </c>
      <c r="B225" s="8" t="n">
        <v>46288</v>
      </c>
      <c r="C225" s="9" t="inlineStr">
        <is>
          <t>CVA</t>
        </is>
      </c>
      <c r="D225" s="9" t="inlineStr">
        <is>
          <t>1080-00000350</t>
        </is>
      </c>
      <c r="E225" s="10" t="inlineStr">
        <is>
          <t>TERRA GARBA S.A.C.A.I.Y F. (22306) - CAB. AP. 1 (FERIA-REP-CAB LA PELADA) Alícuota: 20.00 s/ Comis.Neta</t>
        </is>
      </c>
      <c r="F225" s="11" t="n"/>
      <c r="G225" s="11" t="n">
        <v>90000</v>
      </c>
      <c r="H225" s="12">
        <f>H224+F225-G225</f>
        <v/>
      </c>
    </row>
    <row r="226">
      <c r="A226" s="13" t="n">
        <v>46307</v>
      </c>
      <c r="B226" s="8" t="n">
        <v>46288</v>
      </c>
      <c r="C226" s="9" t="inlineStr">
        <is>
          <t>CVA</t>
        </is>
      </c>
      <c r="D226" s="9" t="inlineStr">
        <is>
          <t>1080-00000351</t>
        </is>
      </c>
      <c r="E226" s="10" t="inlineStr">
        <is>
          <t>TERRA GARBA S.A.C.A.I.Y F. (22306) - CAB. AP. 3 (FERIA-REP-CAB LA PELADA) Alícuota: 20.00 s/ Comis.Neta</t>
        </is>
      </c>
      <c r="F226" s="11" t="n"/>
      <c r="G226" s="11" t="n">
        <v>172200</v>
      </c>
      <c r="H226" s="12">
        <f>H225+F226-G226</f>
        <v/>
      </c>
    </row>
    <row r="227">
      <c r="A227" s="13" t="n">
        <v>46307</v>
      </c>
      <c r="B227" s="8" t="n">
        <v>46288</v>
      </c>
      <c r="C227" s="9" t="inlineStr">
        <is>
          <t>CVA</t>
        </is>
      </c>
      <c r="D227" s="9" t="inlineStr">
        <is>
          <t>1080-00000352</t>
        </is>
      </c>
      <c r="E227" s="10" t="inlineStr">
        <is>
          <t>TERRA GARBA S.A.C.A.I.Y F. (22306) - CAB. AP. 1 (FERIA-REP-CAB LA PELADA) Alícuota: 20.00 s/ Comis.Neta</t>
        </is>
      </c>
      <c r="F227" s="11" t="n"/>
      <c r="G227" s="11" t="n">
        <v>69000</v>
      </c>
      <c r="H227" s="12">
        <f>H226+F227-G227</f>
        <v/>
      </c>
    </row>
    <row r="228">
      <c r="A228" s="13" t="n">
        <v>46307</v>
      </c>
      <c r="B228" s="8" t="n">
        <v>46288</v>
      </c>
      <c r="C228" s="9" t="inlineStr">
        <is>
          <t>CVA</t>
        </is>
      </c>
      <c r="D228" s="9" t="inlineStr">
        <is>
          <t>1080-00000353</t>
        </is>
      </c>
      <c r="E228" s="10" t="inlineStr">
        <is>
          <t>TERRA GARBA S.A.C.A.I.Y F. (22306) - CAB. AP. 1 (FERIA-REP-CAB LA PELADA) Alícuota: 20.00 s/ Comis.Neta</t>
        </is>
      </c>
      <c r="F228" s="11" t="n"/>
      <c r="G228" s="11" t="n">
        <v>69000</v>
      </c>
      <c r="H228" s="12">
        <f>H227+F228-G228</f>
        <v/>
      </c>
    </row>
    <row r="229">
      <c r="A229" s="13" t="n">
        <v>46307</v>
      </c>
      <c r="B229" s="8" t="n">
        <v>46288</v>
      </c>
      <c r="C229" s="9" t="inlineStr">
        <is>
          <t>CVA</t>
        </is>
      </c>
      <c r="D229" s="9" t="inlineStr">
        <is>
          <t>1080-00000354</t>
        </is>
      </c>
      <c r="E229" s="10" t="inlineStr">
        <is>
          <t>TERRA GARBA S.A.C.A.I.Y F. (22306) - CAB. AP. 1 (FERIA-REP-CAB LA PELADA) Alícuota: 20.00 s/ Comis.Neta</t>
        </is>
      </c>
      <c r="F229" s="11" t="n"/>
      <c r="G229" s="11" t="n">
        <v>51000</v>
      </c>
      <c r="H229" s="12">
        <f>H228+F229-G229</f>
        <v/>
      </c>
    </row>
    <row r="230">
      <c r="A230" s="13" t="n">
        <v>46307</v>
      </c>
      <c r="B230" s="8" t="n">
        <v>46288</v>
      </c>
      <c r="C230" s="9" t="inlineStr">
        <is>
          <t>CVA</t>
        </is>
      </c>
      <c r="D230" s="9" t="inlineStr">
        <is>
          <t>1080-00000355</t>
        </is>
      </c>
      <c r="E230" s="10" t="inlineStr">
        <is>
          <t>TERRA GARBA S.A.C.A.I.Y F. (22306) - CAB. AP. 1 (FERIA-REP-CAB LA PELADA) Alícuota: 20.00 s/ Comis.Neta</t>
        </is>
      </c>
      <c r="F230" s="11" t="n"/>
      <c r="G230" s="11" t="n">
        <v>54000</v>
      </c>
      <c r="H230" s="12">
        <f>H229+F230-G230</f>
        <v/>
      </c>
    </row>
    <row r="231">
      <c r="A231" s="13" t="n">
        <v>46307</v>
      </c>
      <c r="B231" s="8" t="n">
        <v>46288</v>
      </c>
      <c r="C231" s="9" t="inlineStr">
        <is>
          <t>CVA</t>
        </is>
      </c>
      <c r="D231" s="9" t="inlineStr">
        <is>
          <t>1080-00000356</t>
        </is>
      </c>
      <c r="E231" s="10" t="inlineStr">
        <is>
          <t>TERRA GARBA S.A.C.A.I.Y F. (22306) - CAB. AP. 4 (FERIA-REP-CAB LA PELADA) Alícuota: 20.00 s/ Comis.Neta</t>
        </is>
      </c>
      <c r="F231" s="11" t="n"/>
      <c r="G231" s="11" t="n">
        <v>193200</v>
      </c>
      <c r="H231" s="12">
        <f>H230+F231-G231</f>
        <v/>
      </c>
    </row>
    <row r="232">
      <c r="A232" s="13" t="n">
        <v>46307</v>
      </c>
      <c r="B232" s="8" t="n">
        <v>46288</v>
      </c>
      <c r="C232" s="9" t="inlineStr">
        <is>
          <t>CVA</t>
        </is>
      </c>
      <c r="D232" s="9" t="inlineStr">
        <is>
          <t>1080-00000357</t>
        </is>
      </c>
      <c r="E232" s="10" t="inlineStr">
        <is>
          <t>TERRA GARBA S.A.C.A.I.Y F. (22306) - CAB. AP. 1 (FERIA-REP-CAB LA PELADA) Alícuota: 20.00 s/ Comis.Neta</t>
        </is>
      </c>
      <c r="F232" s="11" t="n"/>
      <c r="G232" s="11" t="n">
        <v>51000</v>
      </c>
      <c r="H232" s="12">
        <f>H231+F232-G232</f>
        <v/>
      </c>
    </row>
    <row r="233">
      <c r="A233" s="13" t="n">
        <v>46307</v>
      </c>
      <c r="B233" s="8" t="n">
        <v>46288</v>
      </c>
      <c r="C233" s="9" t="inlineStr">
        <is>
          <t>CVA</t>
        </is>
      </c>
      <c r="D233" s="9" t="inlineStr">
        <is>
          <t>1080-00000358</t>
        </is>
      </c>
      <c r="E233" s="10" t="inlineStr">
        <is>
          <t>TERRA GARBA S.A.C.A.I.Y F. (22306) - CAB. AP. 1 (FERIA-REP-CAB LA PELADA) Alícuota: 20.00 s/ Comis.Neta</t>
        </is>
      </c>
      <c r="F233" s="11" t="n"/>
      <c r="G233" s="11" t="n">
        <v>48000</v>
      </c>
      <c r="H233" s="12">
        <f>H232+F233-G233</f>
        <v/>
      </c>
    </row>
    <row r="234">
      <c r="A234" s="13" t="n">
        <v>46307</v>
      </c>
      <c r="B234" s="8" t="n">
        <v>46288</v>
      </c>
      <c r="C234" s="9" t="inlineStr">
        <is>
          <t>CVA</t>
        </is>
      </c>
      <c r="D234" s="9" t="inlineStr">
        <is>
          <t>1080-00000359</t>
        </is>
      </c>
      <c r="E234" s="10" t="inlineStr">
        <is>
          <t>TERRA GARBA S.A.C.A.I.Y F. (22306) - CAB. AP. 1 (FERIA-REP-CAB LA PELADA) Alícuota: 20.00 s/ Comis.Neta</t>
        </is>
      </c>
      <c r="F234" s="11" t="n"/>
      <c r="G234" s="11" t="n">
        <v>58200</v>
      </c>
      <c r="H234" s="12">
        <f>H233+F234-G234</f>
        <v/>
      </c>
    </row>
    <row r="235">
      <c r="A235" s="13" t="n">
        <v>46307</v>
      </c>
      <c r="B235" s="8" t="n">
        <v>46288</v>
      </c>
      <c r="C235" s="9" t="inlineStr">
        <is>
          <t>CVA</t>
        </is>
      </c>
      <c r="D235" s="9" t="inlineStr">
        <is>
          <t>1080-00000361</t>
        </is>
      </c>
      <c r="E235" s="10" t="inlineStr">
        <is>
          <t>TERRA GARBA S.A.C.A.I.Y F. (22306) - CAB. AP. 152 (FERIA-REP-CAB LA PELADA) Alícuota: 20.00 s/ Comis.Neta</t>
        </is>
      </c>
      <c r="F235" s="11" t="n"/>
      <c r="G235" s="11" t="n">
        <v>2424000</v>
      </c>
      <c r="H235" s="12">
        <f>H234+F235-G235</f>
        <v/>
      </c>
    </row>
    <row r="236">
      <c r="A236" s="13" t="n">
        <v>46307</v>
      </c>
      <c r="B236" s="8" t="n">
        <v>46288</v>
      </c>
      <c r="C236" s="9" t="inlineStr">
        <is>
          <t>CVA</t>
        </is>
      </c>
      <c r="D236" s="9" t="inlineStr">
        <is>
          <t>1080-00000362</t>
        </is>
      </c>
      <c r="E236" s="10" t="inlineStr">
        <is>
          <t>TERRA GARBA S.A.C.A.I.Y F. (22306) - CAB. AP. 27 (FERIA-REP-CAB LA PELADA) Alícuota: 20.00 s/ Comis.Neta</t>
        </is>
      </c>
      <c r="F236" s="11" t="n"/>
      <c r="G236" s="11" t="n">
        <v>460200</v>
      </c>
      <c r="H236" s="12">
        <f>H235+F236-G236</f>
        <v/>
      </c>
    </row>
    <row r="237">
      <c r="A237" s="13" t="n">
        <v>46307</v>
      </c>
      <c r="B237" s="8" t="n">
        <v>46288</v>
      </c>
      <c r="C237" s="9" t="inlineStr">
        <is>
          <t>CVA</t>
        </is>
      </c>
      <c r="D237" s="9" t="inlineStr">
        <is>
          <t>1080-00000364</t>
        </is>
      </c>
      <c r="E237" s="10" t="inlineStr">
        <is>
          <t>TERRA GARBA S.A.C.A.I.Y F. (22306) - CAB. AP. 1 (FERIA-REP-CAB LA PELADA) Alícuota: 20.00 s/ Comis.Neta</t>
        </is>
      </c>
      <c r="F237" s="11" t="n"/>
      <c r="G237" s="11" t="n">
        <v>69000</v>
      </c>
      <c r="H237" s="12">
        <f>H236+F237-G237</f>
        <v/>
      </c>
    </row>
    <row r="238">
      <c r="A238" s="13" t="n">
        <v>46307</v>
      </c>
      <c r="B238" s="8" t="n">
        <v>46288</v>
      </c>
      <c r="C238" s="9" t="inlineStr">
        <is>
          <t>CVA</t>
        </is>
      </c>
      <c r="D238" s="9" t="inlineStr">
        <is>
          <t>1080-00000366</t>
        </is>
      </c>
      <c r="E238" s="10" t="inlineStr">
        <is>
          <t>TERRA GARBA S.A.C.A.I.Y F. (22306) - CAB. AP. 1 (FERIA-REP-CAB LA PELADA) Alícuota: 20.00 s/ Comis.Neta</t>
        </is>
      </c>
      <c r="F238" s="11" t="n"/>
      <c r="G238" s="11" t="n">
        <v>69000</v>
      </c>
      <c r="H238" s="12">
        <f>H237+F238-G238</f>
        <v/>
      </c>
    </row>
    <row r="239">
      <c r="A239" s="13" t="n">
        <v>46307</v>
      </c>
      <c r="B239" s="8" t="n">
        <v>46288</v>
      </c>
      <c r="C239" s="9" t="inlineStr">
        <is>
          <t>CVA</t>
        </is>
      </c>
      <c r="D239" s="9" t="inlineStr">
        <is>
          <t>1080-00000368</t>
        </is>
      </c>
      <c r="E239" s="10" t="inlineStr">
        <is>
          <t>TERRA GARBA S.A.C.A.I.Y F. (22306) - CAB. AP. 20 (FERIA-REP-CAB LA PELADA) Alícuota: 20.00 s/ Comis.Neta</t>
        </is>
      </c>
      <c r="F239" s="11" t="n"/>
      <c r="G239" s="11" t="n">
        <v>300000</v>
      </c>
      <c r="H239" s="12">
        <f>H238+F239-G239</f>
        <v/>
      </c>
    </row>
    <row r="240">
      <c r="A240" s="13" t="n">
        <v>46307</v>
      </c>
      <c r="B240" s="8" t="n">
        <v>46288</v>
      </c>
      <c r="C240" s="9" t="inlineStr">
        <is>
          <t>CVA</t>
        </is>
      </c>
      <c r="D240" s="9" t="inlineStr">
        <is>
          <t>1080-00000370</t>
        </is>
      </c>
      <c r="E240" s="10" t="inlineStr">
        <is>
          <t>TERRA GARBA S.A.C.A.I.Y F. (22306) - CAB. AP. 20 (FERIA-REP-CAB LA PELADA) Alícuota: 20.00 s/ Comis.Neta</t>
        </is>
      </c>
      <c r="F240" s="11" t="n"/>
      <c r="G240" s="11" t="n">
        <v>288000</v>
      </c>
      <c r="H240" s="12">
        <f>H239+F240-G240</f>
        <v/>
      </c>
    </row>
    <row r="241">
      <c r="A241" s="13" t="n">
        <v>46307</v>
      </c>
      <c r="B241" s="8" t="n">
        <v>46289</v>
      </c>
      <c r="C241" s="9" t="inlineStr">
        <is>
          <t>NOO</t>
        </is>
      </c>
      <c r="D241" s="9" t="inlineStr">
        <is>
          <t>000037483-000</t>
        </is>
      </c>
      <c r="E241" s="10" t="inlineStr">
        <is>
          <t>TRASP SDO A CTA COMIS CVAP 1080-0292 X 1 CAB TERRA GARBA</t>
        </is>
      </c>
      <c r="F241" s="11" t="n"/>
      <c r="G241" s="11" t="n">
        <v>150000</v>
      </c>
      <c r="H241" s="12">
        <f>H240+F241-G241</f>
        <v/>
      </c>
    </row>
    <row r="242">
      <c r="A242" s="13" t="n">
        <v>46307</v>
      </c>
      <c r="B242" s="8" t="n">
        <v>46289</v>
      </c>
      <c r="C242" s="9" t="inlineStr">
        <is>
          <t>NOO</t>
        </is>
      </c>
      <c r="D242" s="9" t="inlineStr">
        <is>
          <t>000037483-000</t>
        </is>
      </c>
      <c r="E242" s="10" t="inlineStr">
        <is>
          <t>TRASP SDO A CTA COMIS CVAP 1080-0293 X 46 CAB TERRA GARBA</t>
        </is>
      </c>
      <c r="F242" s="11" t="n"/>
      <c r="G242" s="11" t="n">
        <v>780000</v>
      </c>
      <c r="H242" s="12">
        <f>H241+F242-G242</f>
        <v/>
      </c>
    </row>
    <row r="243">
      <c r="A243" s="14" t="n">
        <v>46309</v>
      </c>
      <c r="B243" s="14" t="n">
        <v>46289</v>
      </c>
      <c r="C243" s="15" t="inlineStr">
        <is>
          <t>CVA</t>
        </is>
      </c>
      <c r="D243" s="15" t="inlineStr">
        <is>
          <t>1048-00030016</t>
        </is>
      </c>
      <c r="E243" s="16" t="inlineStr">
        <is>
          <t>DOÑA JULIA S.A. (43342) - CAB. AP. 5 (MER-FAE-MER) Alícuota: 0.95 s/ Bruto</t>
        </is>
      </c>
      <c r="F243" s="17" t="n"/>
      <c r="G243" s="17" t="n">
        <v>79192</v>
      </c>
      <c r="H243" s="18">
        <f>H242+F243-G243</f>
        <v/>
      </c>
    </row>
    <row r="244">
      <c r="A244" s="14" t="n">
        <v>46311</v>
      </c>
      <c r="B244" s="14" t="n">
        <v>46283</v>
      </c>
      <c r="C244" s="15" t="inlineStr">
        <is>
          <t>CVA</t>
        </is>
      </c>
      <c r="D244" s="15" t="inlineStr">
        <is>
          <t>1002-00010138</t>
        </is>
      </c>
      <c r="E244" s="16" t="inlineStr">
        <is>
          <t>GALDOS, JUAN GERMAN (31998) - CAB. AP. 320 (TV-INV-HEN) Alícuota: 1.75 s/ Bruto</t>
        </is>
      </c>
      <c r="F244" s="17" t="n"/>
      <c r="G244" s="17" t="n">
        <v>6504650.25</v>
      </c>
      <c r="H244" s="18">
        <f>H243+F244-G244</f>
        <v/>
      </c>
    </row>
    <row r="245">
      <c r="A245" s="14" t="n">
        <v>46318</v>
      </c>
      <c r="B245" s="14" t="n">
        <v>46287</v>
      </c>
      <c r="C245" s="15" t="inlineStr">
        <is>
          <t>CVA</t>
        </is>
      </c>
      <c r="D245" s="15" t="inlineStr">
        <is>
          <t>1002-00010150</t>
        </is>
      </c>
      <c r="E245" s="16" t="inlineStr">
        <is>
          <t>GALDOS, JUAN GERMAN (31998) - CAB. AP. 100 (TV-INV-HEN) Alícuota: 2.50 s/ Bruto</t>
        </is>
      </c>
      <c r="F245" s="17" t="n"/>
      <c r="G245" s="17" t="n">
        <v>3905009.5</v>
      </c>
      <c r="H245" s="18">
        <f>H244+F245-G245</f>
        <v/>
      </c>
    </row>
    <row r="246">
      <c r="A246" s="13" t="n">
        <v>46318</v>
      </c>
      <c r="B246" s="8" t="n">
        <v>46289</v>
      </c>
      <c r="C246" s="9" t="inlineStr">
        <is>
          <t>CVA</t>
        </is>
      </c>
      <c r="D246" s="9" t="inlineStr">
        <is>
          <t>1048-00030008</t>
        </is>
      </c>
      <c r="E246" s="10" t="inlineStr">
        <is>
          <t>EL PIQUILLIN S. A. S. (48478) - CAB. AP. 2 (MER-FAE-MER) Alícuota: 1.50 s/ Bruto</t>
        </is>
      </c>
      <c r="F246" s="11" t="n"/>
      <c r="G246" s="11" t="n">
        <v>80727</v>
      </c>
      <c r="H246" s="12">
        <f>H245+F246-G246</f>
        <v/>
      </c>
    </row>
    <row r="247">
      <c r="A247" s="14" t="n">
        <v>46367</v>
      </c>
      <c r="B247" s="14" t="n">
        <v>46288</v>
      </c>
      <c r="C247" s="15" t="inlineStr">
        <is>
          <t>CVA</t>
        </is>
      </c>
      <c r="D247" s="15" t="inlineStr">
        <is>
          <t>1080-00000294</t>
        </is>
      </c>
      <c r="E247" s="16" t="inlineStr">
        <is>
          <t>TERRA GARBA S.A.C.A.I.Y F. (22306) - CAB. AP. 1 (FERIA-REP-CAB LA PELADA) Alícuota: 20.00 s/ Comis.Neta</t>
        </is>
      </c>
      <c r="F247" s="17" t="n"/>
      <c r="G247" s="17" t="n">
        <v>54000</v>
      </c>
      <c r="H247" s="18">
        <f>H246+F247-G247</f>
        <v/>
      </c>
    </row>
    <row r="248">
      <c r="A248" s="19" t="n"/>
      <c r="B248" s="19" t="n"/>
      <c r="C248" s="19" t="n"/>
      <c r="D248" s="19" t="n"/>
      <c r="E248" s="20" t="inlineStr">
        <is>
          <t>Total AGRO SALADO SRL</t>
        </is>
      </c>
      <c r="F248" s="21">
        <f>SUM(F26:F247)</f>
        <v/>
      </c>
      <c r="G248" s="21">
        <f>SUM(G26:G247)</f>
        <v/>
      </c>
      <c r="H248" s="21">
        <f>H25+F248-G248</f>
        <v/>
      </c>
    </row>
    <row r="249">
      <c r="E249" s="22" t="inlineStr">
        <is>
          <t>Control: saldo actual según PDF</t>
        </is>
      </c>
      <c r="H249" s="23" t="n">
        <v>-81816367.31999999</v>
      </c>
      <c r="I249" s="24">
        <f>IF(ABS(H249-H248)&lt;0.01,"OK","DIF")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2026-09-24T19:41:46Z</dcterms:created>
  <dcterms:modified xsi:type="dcterms:W3CDTF">2026-09-24T19:41:46Z</dcterms:modified>
</cp:coreProperties>
</file>